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Информатика Пащенко О.И\Лаб.раб.№9 Excel Заполнение таблиц\"/>
    </mc:Choice>
  </mc:AlternateContent>
  <xr:revisionPtr revIDLastSave="0" documentId="13_ncr:1_{4EF5C205-A69F-4EA7-BD04-6E44120668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15" i="1"/>
  <c r="F11" i="1"/>
  <c r="E10" i="1"/>
  <c r="F10" i="1" s="1"/>
  <c r="E4" i="1"/>
  <c r="F4" i="1" s="1"/>
  <c r="E9" i="1"/>
  <c r="F9" i="1" s="1"/>
  <c r="E8" i="1"/>
  <c r="F8" i="1" s="1"/>
  <c r="E14" i="1"/>
  <c r="F14" i="1" s="1"/>
  <c r="E16" i="1"/>
  <c r="F16" i="1" s="1"/>
  <c r="E2" i="1"/>
  <c r="F2" i="1" s="1"/>
  <c r="E6" i="1"/>
  <c r="F6" i="1" s="1"/>
  <c r="E7" i="1"/>
  <c r="F7" i="1" s="1"/>
  <c r="E3" i="1"/>
  <c r="E15" i="1"/>
  <c r="E11" i="1"/>
  <c r="E12" i="1"/>
  <c r="F12" i="1" s="1"/>
  <c r="E5" i="1"/>
  <c r="F5" i="1" s="1"/>
  <c r="E13" i="1"/>
  <c r="F13" i="1" s="1"/>
</calcChain>
</file>

<file path=xl/sharedStrings.xml><?xml version="1.0" encoding="utf-8"?>
<sst xmlns="http://schemas.openxmlformats.org/spreadsheetml/2006/main" count="22" uniqueCount="22">
  <si>
    <t>Абитуриент</t>
  </si>
  <si>
    <t>Математика</t>
  </si>
  <si>
    <t>Русский язык</t>
  </si>
  <si>
    <t>Обществознание</t>
  </si>
  <si>
    <t>Суммарный балл</t>
  </si>
  <si>
    <t>Результаты зачисления</t>
  </si>
  <si>
    <t>Андреев Андрей</t>
  </si>
  <si>
    <t>Сергеев Сергей</t>
  </si>
  <si>
    <t>Петров Пётр</t>
  </si>
  <si>
    <t>Иванов Иван</t>
  </si>
  <si>
    <t>Максимов Максим</t>
  </si>
  <si>
    <t>Фёдоров Фёдор</t>
  </si>
  <si>
    <t>Ульянова Ульяна</t>
  </si>
  <si>
    <t>Марьина Мария</t>
  </si>
  <si>
    <t>Александрова Александра</t>
  </si>
  <si>
    <t>Ефимов Ефим</t>
  </si>
  <si>
    <t>Юрьев Юрий</t>
  </si>
  <si>
    <t>Тимофеев Тимофей</t>
  </si>
  <si>
    <t>Кириллов Кирилл</t>
  </si>
  <si>
    <t>Ксенина Ксения</t>
  </si>
  <si>
    <t>Григорьев Григорий</t>
  </si>
  <si>
    <t>Проходной балл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</si>
</sst>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1"/>
    <xf numFmtId="0" fontId="2" fillId="3" borderId="0" xfId="2"/>
  </cellXfs>
  <cellStyles count="3">
    <cellStyle name="Обычный" xfId="0" builtinId="0"/>
    <cellStyle name="Плохой" xfId="2" builtinId="27"/>
    <cellStyle name="Хороший" xfId="1" builtinId="26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Математика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Лист1!$A$2:$A$16</c:f>
              <c:strCache>
                <c:ptCount val="15"/>
                <c:pt idx="0">
                  <c:v>Марьина Мария</c:v>
                </c:pt>
                <c:pt idx="1">
                  <c:v>Юрьев Юрий</c:v>
                </c:pt>
                <c:pt idx="2">
                  <c:v>Петров Пётр</c:v>
                </c:pt>
                <c:pt idx="3">
                  <c:v>Григорьев Григорий</c:v>
                </c:pt>
                <c:pt idx="4">
                  <c:v>Александрова Александра</c:v>
                </c:pt>
                <c:pt idx="5">
                  <c:v>Ефимов Ефим</c:v>
                </c:pt>
                <c:pt idx="6">
                  <c:v>Максимов Максим</c:v>
                </c:pt>
                <c:pt idx="7">
                  <c:v>Иванов Иван</c:v>
                </c:pt>
                <c:pt idx="8">
                  <c:v>Сергеев Сергей</c:v>
                </c:pt>
                <c:pt idx="9">
                  <c:v>Кириллов Кирилл</c:v>
                </c:pt>
                <c:pt idx="10">
                  <c:v>Ксенина Ксения</c:v>
                </c:pt>
                <c:pt idx="11">
                  <c:v>Андреев Андрей</c:v>
                </c:pt>
                <c:pt idx="12">
                  <c:v>Фёдоров Фёдор</c:v>
                </c:pt>
                <c:pt idx="13">
                  <c:v>Тимофеев Тимофей</c:v>
                </c:pt>
                <c:pt idx="14">
                  <c:v>Ульянова Ульяна</c:v>
                </c:pt>
              </c:strCache>
            </c:strRef>
          </c:cat>
          <c:val>
            <c:numRef>
              <c:f>Лист1!$B$2:$B$16</c:f>
              <c:numCache>
                <c:formatCode>General</c:formatCode>
                <c:ptCount val="15"/>
                <c:pt idx="0">
                  <c:v>95</c:v>
                </c:pt>
                <c:pt idx="1">
                  <c:v>90</c:v>
                </c:pt>
                <c:pt idx="2">
                  <c:v>89</c:v>
                </c:pt>
                <c:pt idx="3">
                  <c:v>85</c:v>
                </c:pt>
                <c:pt idx="4">
                  <c:v>76</c:v>
                </c:pt>
                <c:pt idx="5">
                  <c:v>81</c:v>
                </c:pt>
                <c:pt idx="6">
                  <c:v>84</c:v>
                </c:pt>
                <c:pt idx="7">
                  <c:v>79</c:v>
                </c:pt>
                <c:pt idx="8">
                  <c:v>74</c:v>
                </c:pt>
                <c:pt idx="9">
                  <c:v>71</c:v>
                </c:pt>
                <c:pt idx="10">
                  <c:v>73</c:v>
                </c:pt>
                <c:pt idx="11">
                  <c:v>65</c:v>
                </c:pt>
                <c:pt idx="12">
                  <c:v>56</c:v>
                </c:pt>
                <c:pt idx="13">
                  <c:v>58</c:v>
                </c:pt>
                <c:pt idx="14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F-479F-B86C-82930E0D3641}"/>
            </c:ext>
          </c:extLst>
        </c:ser>
        <c:ser>
          <c:idx val="1"/>
          <c:order val="1"/>
          <c:tx>
            <c:strRef>
              <c:f>Лист1!$C$1</c:f>
              <c:strCache>
                <c:ptCount val="1"/>
                <c:pt idx="0">
                  <c:v>Русский язык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Лист1!$A$2:$A$16</c:f>
              <c:strCache>
                <c:ptCount val="15"/>
                <c:pt idx="0">
                  <c:v>Марьина Мария</c:v>
                </c:pt>
                <c:pt idx="1">
                  <c:v>Юрьев Юрий</c:v>
                </c:pt>
                <c:pt idx="2">
                  <c:v>Петров Пётр</c:v>
                </c:pt>
                <c:pt idx="3">
                  <c:v>Григорьев Григорий</c:v>
                </c:pt>
                <c:pt idx="4">
                  <c:v>Александрова Александра</c:v>
                </c:pt>
                <c:pt idx="5">
                  <c:v>Ефимов Ефим</c:v>
                </c:pt>
                <c:pt idx="6">
                  <c:v>Максимов Максим</c:v>
                </c:pt>
                <c:pt idx="7">
                  <c:v>Иванов Иван</c:v>
                </c:pt>
                <c:pt idx="8">
                  <c:v>Сергеев Сергей</c:v>
                </c:pt>
                <c:pt idx="9">
                  <c:v>Кириллов Кирилл</c:v>
                </c:pt>
                <c:pt idx="10">
                  <c:v>Ксенина Ксения</c:v>
                </c:pt>
                <c:pt idx="11">
                  <c:v>Андреев Андрей</c:v>
                </c:pt>
                <c:pt idx="12">
                  <c:v>Фёдоров Фёдор</c:v>
                </c:pt>
                <c:pt idx="13">
                  <c:v>Тимофеев Тимофей</c:v>
                </c:pt>
                <c:pt idx="14">
                  <c:v>Ульянова Ульяна</c:v>
                </c:pt>
              </c:strCache>
            </c:strRef>
          </c:cat>
          <c:val>
            <c:numRef>
              <c:f>Лист1!$C$2:$C$16</c:f>
              <c:numCache>
                <c:formatCode>General</c:formatCode>
                <c:ptCount val="15"/>
                <c:pt idx="0">
                  <c:v>89</c:v>
                </c:pt>
                <c:pt idx="1">
                  <c:v>87</c:v>
                </c:pt>
                <c:pt idx="2">
                  <c:v>91</c:v>
                </c:pt>
                <c:pt idx="3">
                  <c:v>94</c:v>
                </c:pt>
                <c:pt idx="4">
                  <c:v>92</c:v>
                </c:pt>
                <c:pt idx="5">
                  <c:v>87</c:v>
                </c:pt>
                <c:pt idx="6">
                  <c:v>79</c:v>
                </c:pt>
                <c:pt idx="7">
                  <c:v>88</c:v>
                </c:pt>
                <c:pt idx="8">
                  <c:v>82</c:v>
                </c:pt>
                <c:pt idx="9">
                  <c:v>84</c:v>
                </c:pt>
                <c:pt idx="10">
                  <c:v>73</c:v>
                </c:pt>
                <c:pt idx="11">
                  <c:v>68</c:v>
                </c:pt>
                <c:pt idx="12">
                  <c:v>60</c:v>
                </c:pt>
                <c:pt idx="13">
                  <c:v>67</c:v>
                </c:pt>
                <c:pt idx="14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3F-479F-B86C-82930E0D3641}"/>
            </c:ext>
          </c:extLst>
        </c:ser>
        <c:ser>
          <c:idx val="2"/>
          <c:order val="2"/>
          <c:tx>
            <c:strRef>
              <c:f>Лист1!$D$1</c:f>
              <c:strCache>
                <c:ptCount val="1"/>
                <c:pt idx="0">
                  <c:v>Обществознание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Лист1!$A$2:$A$16</c:f>
              <c:strCache>
                <c:ptCount val="15"/>
                <c:pt idx="0">
                  <c:v>Марьина Мария</c:v>
                </c:pt>
                <c:pt idx="1">
                  <c:v>Юрьев Юрий</c:v>
                </c:pt>
                <c:pt idx="2">
                  <c:v>Петров Пётр</c:v>
                </c:pt>
                <c:pt idx="3">
                  <c:v>Григорьев Григорий</c:v>
                </c:pt>
                <c:pt idx="4">
                  <c:v>Александрова Александра</c:v>
                </c:pt>
                <c:pt idx="5">
                  <c:v>Ефимов Ефим</c:v>
                </c:pt>
                <c:pt idx="6">
                  <c:v>Максимов Максим</c:v>
                </c:pt>
                <c:pt idx="7">
                  <c:v>Иванов Иван</c:v>
                </c:pt>
                <c:pt idx="8">
                  <c:v>Сергеев Сергей</c:v>
                </c:pt>
                <c:pt idx="9">
                  <c:v>Кириллов Кирилл</c:v>
                </c:pt>
                <c:pt idx="10">
                  <c:v>Ксенина Ксения</c:v>
                </c:pt>
                <c:pt idx="11">
                  <c:v>Андреев Андрей</c:v>
                </c:pt>
                <c:pt idx="12">
                  <c:v>Фёдоров Фёдор</c:v>
                </c:pt>
                <c:pt idx="13">
                  <c:v>Тимофеев Тимофей</c:v>
                </c:pt>
                <c:pt idx="14">
                  <c:v>Ульянова Ульяна</c:v>
                </c:pt>
              </c:strCache>
            </c:strRef>
          </c:cat>
          <c:val>
            <c:numRef>
              <c:f>Лист1!$D$2:$D$16</c:f>
              <c:numCache>
                <c:formatCode>General</c:formatCode>
                <c:ptCount val="15"/>
                <c:pt idx="0">
                  <c:v>100</c:v>
                </c:pt>
                <c:pt idx="1">
                  <c:v>99</c:v>
                </c:pt>
                <c:pt idx="2">
                  <c:v>94</c:v>
                </c:pt>
                <c:pt idx="3">
                  <c:v>93</c:v>
                </c:pt>
                <c:pt idx="4">
                  <c:v>95</c:v>
                </c:pt>
                <c:pt idx="5">
                  <c:v>93</c:v>
                </c:pt>
                <c:pt idx="6">
                  <c:v>92</c:v>
                </c:pt>
                <c:pt idx="7">
                  <c:v>80</c:v>
                </c:pt>
                <c:pt idx="8">
                  <c:v>90</c:v>
                </c:pt>
                <c:pt idx="9">
                  <c:v>89</c:v>
                </c:pt>
                <c:pt idx="10">
                  <c:v>73</c:v>
                </c:pt>
                <c:pt idx="11">
                  <c:v>70</c:v>
                </c:pt>
                <c:pt idx="12">
                  <c:v>71</c:v>
                </c:pt>
                <c:pt idx="13">
                  <c:v>61</c:v>
                </c:pt>
                <c:pt idx="1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3F-479F-B86C-82930E0D3641}"/>
            </c:ext>
          </c:extLst>
        </c:ser>
        <c:ser>
          <c:idx val="3"/>
          <c:order val="3"/>
          <c:tx>
            <c:strRef>
              <c:f>Лист1!$E$1</c:f>
              <c:strCache>
                <c:ptCount val="1"/>
                <c:pt idx="0">
                  <c:v>Суммарный балл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Лист1!$A$2:$A$16</c:f>
              <c:strCache>
                <c:ptCount val="15"/>
                <c:pt idx="0">
                  <c:v>Марьина Мария</c:v>
                </c:pt>
                <c:pt idx="1">
                  <c:v>Юрьев Юрий</c:v>
                </c:pt>
                <c:pt idx="2">
                  <c:v>Петров Пётр</c:v>
                </c:pt>
                <c:pt idx="3">
                  <c:v>Григорьев Григорий</c:v>
                </c:pt>
                <c:pt idx="4">
                  <c:v>Александрова Александра</c:v>
                </c:pt>
                <c:pt idx="5">
                  <c:v>Ефимов Ефим</c:v>
                </c:pt>
                <c:pt idx="6">
                  <c:v>Максимов Максим</c:v>
                </c:pt>
                <c:pt idx="7">
                  <c:v>Иванов Иван</c:v>
                </c:pt>
                <c:pt idx="8">
                  <c:v>Сергеев Сергей</c:v>
                </c:pt>
                <c:pt idx="9">
                  <c:v>Кириллов Кирилл</c:v>
                </c:pt>
                <c:pt idx="10">
                  <c:v>Ксенина Ксения</c:v>
                </c:pt>
                <c:pt idx="11">
                  <c:v>Андреев Андрей</c:v>
                </c:pt>
                <c:pt idx="12">
                  <c:v>Фёдоров Фёдор</c:v>
                </c:pt>
                <c:pt idx="13">
                  <c:v>Тимофеев Тимофей</c:v>
                </c:pt>
                <c:pt idx="14">
                  <c:v>Ульянова Ульяна</c:v>
                </c:pt>
              </c:strCache>
            </c:strRef>
          </c:cat>
          <c:val>
            <c:numRef>
              <c:f>Лист1!$E$2:$E$16</c:f>
              <c:numCache>
                <c:formatCode>General</c:formatCode>
                <c:ptCount val="15"/>
                <c:pt idx="0">
                  <c:v>284</c:v>
                </c:pt>
                <c:pt idx="1">
                  <c:v>276</c:v>
                </c:pt>
                <c:pt idx="2">
                  <c:v>274</c:v>
                </c:pt>
                <c:pt idx="3">
                  <c:v>272</c:v>
                </c:pt>
                <c:pt idx="4">
                  <c:v>263</c:v>
                </c:pt>
                <c:pt idx="5">
                  <c:v>261</c:v>
                </c:pt>
                <c:pt idx="6">
                  <c:v>255</c:v>
                </c:pt>
                <c:pt idx="7">
                  <c:v>247</c:v>
                </c:pt>
                <c:pt idx="8">
                  <c:v>246</c:v>
                </c:pt>
                <c:pt idx="9">
                  <c:v>244</c:v>
                </c:pt>
                <c:pt idx="10">
                  <c:v>219</c:v>
                </c:pt>
                <c:pt idx="11">
                  <c:v>203</c:v>
                </c:pt>
                <c:pt idx="12">
                  <c:v>187</c:v>
                </c:pt>
                <c:pt idx="13">
                  <c:v>186</c:v>
                </c:pt>
                <c:pt idx="14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3F-479F-B86C-82930E0D3641}"/>
            </c:ext>
          </c:extLst>
        </c:ser>
        <c:ser>
          <c:idx val="5"/>
          <c:order val="5"/>
          <c:tx>
            <c:strRef>
              <c:f>Лист1!$G$1</c:f>
              <c:strCache>
                <c:ptCount val="1"/>
                <c:pt idx="0">
                  <c:v>Проходной балл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Лист1!$A$2:$A$16</c:f>
              <c:strCache>
                <c:ptCount val="15"/>
                <c:pt idx="0">
                  <c:v>Марьина Мария</c:v>
                </c:pt>
                <c:pt idx="1">
                  <c:v>Юрьев Юрий</c:v>
                </c:pt>
                <c:pt idx="2">
                  <c:v>Петров Пётр</c:v>
                </c:pt>
                <c:pt idx="3">
                  <c:v>Григорьев Григорий</c:v>
                </c:pt>
                <c:pt idx="4">
                  <c:v>Александрова Александра</c:v>
                </c:pt>
                <c:pt idx="5">
                  <c:v>Ефимов Ефим</c:v>
                </c:pt>
                <c:pt idx="6">
                  <c:v>Максимов Максим</c:v>
                </c:pt>
                <c:pt idx="7">
                  <c:v>Иванов Иван</c:v>
                </c:pt>
                <c:pt idx="8">
                  <c:v>Сергеев Сергей</c:v>
                </c:pt>
                <c:pt idx="9">
                  <c:v>Кириллов Кирилл</c:v>
                </c:pt>
                <c:pt idx="10">
                  <c:v>Ксенина Ксения</c:v>
                </c:pt>
                <c:pt idx="11">
                  <c:v>Андреев Андрей</c:v>
                </c:pt>
                <c:pt idx="12">
                  <c:v>Фёдоров Фёдор</c:v>
                </c:pt>
                <c:pt idx="13">
                  <c:v>Тимофеев Тимофей</c:v>
                </c:pt>
                <c:pt idx="14">
                  <c:v>Ульянова Ульяна</c:v>
                </c:pt>
              </c:strCache>
            </c:strRef>
          </c:cat>
          <c:val>
            <c:numRef>
              <c:f>Лист1!$G$2:$G$16</c:f>
              <c:numCache>
                <c:formatCode>General</c:formatCode>
                <c:ptCount val="15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  <c:pt idx="6">
                  <c:v>200</c:v>
                </c:pt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3">
                  <c:v>200</c:v>
                </c:pt>
                <c:pt idx="1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3F-479F-B86C-82930E0D3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4415120"/>
        <c:axId val="554420040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Лист1!$F$1</c15:sqref>
                        </c15:formulaRef>
                      </c:ext>
                    </c:extLst>
                    <c:strCache>
                      <c:ptCount val="1"/>
                      <c:pt idx="0">
                        <c:v>Результаты зачисления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Лист1!$A$2:$A$16</c15:sqref>
                        </c15:formulaRef>
                      </c:ext>
                    </c:extLst>
                    <c:strCache>
                      <c:ptCount val="15"/>
                      <c:pt idx="0">
                        <c:v>Марьина Мария</c:v>
                      </c:pt>
                      <c:pt idx="1">
                        <c:v>Юрьев Юрий</c:v>
                      </c:pt>
                      <c:pt idx="2">
                        <c:v>Петров Пётр</c:v>
                      </c:pt>
                      <c:pt idx="3">
                        <c:v>Григорьев Григорий</c:v>
                      </c:pt>
                      <c:pt idx="4">
                        <c:v>Александрова Александра</c:v>
                      </c:pt>
                      <c:pt idx="5">
                        <c:v>Ефимов Ефим</c:v>
                      </c:pt>
                      <c:pt idx="6">
                        <c:v>Максимов Максим</c:v>
                      </c:pt>
                      <c:pt idx="7">
                        <c:v>Иванов Иван</c:v>
                      </c:pt>
                      <c:pt idx="8">
                        <c:v>Сергеев Сергей</c:v>
                      </c:pt>
                      <c:pt idx="9">
                        <c:v>Кириллов Кирилл</c:v>
                      </c:pt>
                      <c:pt idx="10">
                        <c:v>Ксенина Ксения</c:v>
                      </c:pt>
                      <c:pt idx="11">
                        <c:v>Андреев Андрей</c:v>
                      </c:pt>
                      <c:pt idx="12">
                        <c:v>Фёдоров Фёдор</c:v>
                      </c:pt>
                      <c:pt idx="13">
                        <c:v>Тимофеев Тимофей</c:v>
                      </c:pt>
                      <c:pt idx="14">
                        <c:v>Ульянова Ульяна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Лист1!$F$2:$F$16</c15:sqref>
                        </c15:formulaRef>
                      </c:ext>
                    </c:extLst>
                    <c:numCache>
                      <c:formatCode>General</c:formatCode>
                      <c:ptCount val="1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A43F-479F-B86C-82930E0D3641}"/>
                  </c:ext>
                </c:extLst>
              </c15:ser>
            </c15:filteredBarSeries>
          </c:ext>
        </c:extLst>
      </c:barChart>
      <c:catAx>
        <c:axId val="554415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4420040"/>
        <c:crosses val="autoZero"/>
        <c:auto val="1"/>
        <c:lblAlgn val="ctr"/>
        <c:lblOffset val="100"/>
        <c:noMultiLvlLbl val="0"/>
      </c:catAx>
      <c:valAx>
        <c:axId val="554420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4415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571499</xdr:colOff>
      <xdr:row>11</xdr:row>
      <xdr:rowOff>186417</xdr:rowOff>
    </xdr:from>
    <xdr:to>
      <xdr:col>17</xdr:col>
      <xdr:colOff>244928</xdr:colOff>
      <xdr:row>31</xdr:row>
      <xdr:rowOff>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37DB6CB-ABEF-49DF-9B19-45BE0350A8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="70" zoomScaleNormal="70" workbookViewId="0">
      <selection activeCell="W8" sqref="W8"/>
    </sheetView>
  </sheetViews>
  <sheetFormatPr defaultRowHeight="15" x14ac:dyDescent="0.25"/>
  <cols>
    <col min="1" max="1" width="26.28515625" customWidth="1"/>
    <col min="2" max="2" width="14.5703125" customWidth="1"/>
    <col min="3" max="3" width="14.7109375" customWidth="1"/>
    <col min="4" max="4" width="16.5703125" customWidth="1"/>
    <col min="5" max="5" width="19" customWidth="1"/>
    <col min="6" max="6" width="22.85546875" customWidth="1"/>
    <col min="7" max="7" width="20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21</v>
      </c>
    </row>
    <row r="2" spans="1:7" x14ac:dyDescent="0.25">
      <c r="A2" s="2" t="s">
        <v>13</v>
      </c>
      <c r="B2">
        <v>95</v>
      </c>
      <c r="C2">
        <v>89</v>
      </c>
      <c r="D2">
        <v>100</v>
      </c>
      <c r="E2">
        <f>SUM(B2:D2)</f>
        <v>284</v>
      </c>
      <c r="F2" t="str">
        <f>IF(E2&gt;200,"Зачислен", "Не зачислен")</f>
        <v>Зачислен</v>
      </c>
      <c r="G2">
        <v>200</v>
      </c>
    </row>
    <row r="3" spans="1:7" x14ac:dyDescent="0.25">
      <c r="A3" s="2" t="s">
        <v>16</v>
      </c>
      <c r="B3">
        <v>90</v>
      </c>
      <c r="C3">
        <v>87</v>
      </c>
      <c r="D3">
        <v>99</v>
      </c>
      <c r="E3">
        <f>SUM(B3:D3)</f>
        <v>276</v>
      </c>
      <c r="F3" t="str">
        <f>IF(E3&gt;200,"Зачислен", "Не зачислен")</f>
        <v>Зачислен</v>
      </c>
      <c r="G3">
        <v>200</v>
      </c>
    </row>
    <row r="4" spans="1:7" x14ac:dyDescent="0.25">
      <c r="A4" s="2" t="s">
        <v>8</v>
      </c>
      <c r="B4">
        <v>89</v>
      </c>
      <c r="C4">
        <v>91</v>
      </c>
      <c r="D4">
        <v>94</v>
      </c>
      <c r="E4">
        <f>SUM(B4:D4)</f>
        <v>274</v>
      </c>
      <c r="F4" t="str">
        <f>IF(E4&gt;200,"Зачислен", "Не зачислен")</f>
        <v>Зачислен</v>
      </c>
      <c r="G4">
        <v>200</v>
      </c>
    </row>
    <row r="5" spans="1:7" x14ac:dyDescent="0.25">
      <c r="A5" s="2" t="s">
        <v>20</v>
      </c>
      <c r="B5">
        <v>85</v>
      </c>
      <c r="C5">
        <v>94</v>
      </c>
      <c r="D5">
        <v>93</v>
      </c>
      <c r="E5">
        <f>SUM(B5:D5)</f>
        <v>272</v>
      </c>
      <c r="F5" t="str">
        <f>IF(E5&gt;200,"Зачислен", "Не зачислен")</f>
        <v>Зачислен</v>
      </c>
      <c r="G5">
        <v>200</v>
      </c>
    </row>
    <row r="6" spans="1:7" x14ac:dyDescent="0.25">
      <c r="A6" s="2" t="s">
        <v>14</v>
      </c>
      <c r="B6">
        <v>76</v>
      </c>
      <c r="C6">
        <v>92</v>
      </c>
      <c r="D6">
        <v>95</v>
      </c>
      <c r="E6">
        <f>SUM(B6:D6)</f>
        <v>263</v>
      </c>
      <c r="F6" t="str">
        <f>IF(E6&gt;200,"Зачислен", "Не зачислен")</f>
        <v>Зачислен</v>
      </c>
      <c r="G6">
        <v>200</v>
      </c>
    </row>
    <row r="7" spans="1:7" x14ac:dyDescent="0.25">
      <c r="A7" s="2" t="s">
        <v>15</v>
      </c>
      <c r="B7">
        <v>81</v>
      </c>
      <c r="C7">
        <v>87</v>
      </c>
      <c r="D7">
        <v>93</v>
      </c>
      <c r="E7">
        <f>SUM(B7:D7)</f>
        <v>261</v>
      </c>
      <c r="F7" t="str">
        <f>IF(E7&gt;200,"Зачислен", "Не зачислен")</f>
        <v>Зачислен</v>
      </c>
      <c r="G7">
        <v>200</v>
      </c>
    </row>
    <row r="8" spans="1:7" x14ac:dyDescent="0.25">
      <c r="A8" s="2" t="s">
        <v>10</v>
      </c>
      <c r="B8">
        <v>84</v>
      </c>
      <c r="C8">
        <v>79</v>
      </c>
      <c r="D8">
        <v>92</v>
      </c>
      <c r="E8">
        <f>SUM(B8:D8)</f>
        <v>255</v>
      </c>
      <c r="F8" t="str">
        <f>IF(E8&gt;200,"Зачислен", "Не зачислен")</f>
        <v>Зачислен</v>
      </c>
      <c r="G8">
        <v>200</v>
      </c>
    </row>
    <row r="9" spans="1:7" x14ac:dyDescent="0.25">
      <c r="A9" s="2" t="s">
        <v>9</v>
      </c>
      <c r="B9">
        <v>79</v>
      </c>
      <c r="C9">
        <v>88</v>
      </c>
      <c r="D9">
        <v>80</v>
      </c>
      <c r="E9">
        <f>SUM(B9:D9)</f>
        <v>247</v>
      </c>
      <c r="F9" t="str">
        <f>IF(E9&gt;200,"Зачислен", "Не зачислен")</f>
        <v>Зачислен</v>
      </c>
      <c r="G9">
        <v>200</v>
      </c>
    </row>
    <row r="10" spans="1:7" x14ac:dyDescent="0.25">
      <c r="A10" s="2" t="s">
        <v>7</v>
      </c>
      <c r="B10">
        <v>74</v>
      </c>
      <c r="C10">
        <v>82</v>
      </c>
      <c r="D10">
        <v>90</v>
      </c>
      <c r="E10">
        <f>SUM(B10:D10)</f>
        <v>246</v>
      </c>
      <c r="F10" t="str">
        <f>IF(E10&gt;200,"Зачислен", "Не зачислен")</f>
        <v>Зачислен</v>
      </c>
      <c r="G10">
        <v>200</v>
      </c>
    </row>
    <row r="11" spans="1:7" x14ac:dyDescent="0.25">
      <c r="A11" s="2" t="s">
        <v>18</v>
      </c>
      <c r="B11">
        <v>71</v>
      </c>
      <c r="C11">
        <v>84</v>
      </c>
      <c r="D11">
        <v>89</v>
      </c>
      <c r="E11">
        <f>SUM(B11:D11)</f>
        <v>244</v>
      </c>
      <c r="F11" t="str">
        <f>IF(E11&gt;200,"Зачислен", "Не зачислен")</f>
        <v>Зачислен</v>
      </c>
      <c r="G11">
        <v>200</v>
      </c>
    </row>
    <row r="12" spans="1:7" x14ac:dyDescent="0.25">
      <c r="A12" s="2" t="s">
        <v>19</v>
      </c>
      <c r="B12">
        <v>73</v>
      </c>
      <c r="C12">
        <v>73</v>
      </c>
      <c r="D12">
        <v>73</v>
      </c>
      <c r="E12">
        <f>SUM(B12:D12)</f>
        <v>219</v>
      </c>
      <c r="F12" t="str">
        <f>IF(E12&gt;200,"Зачислен", "Не зачислен")</f>
        <v>Зачислен</v>
      </c>
      <c r="G12">
        <v>200</v>
      </c>
    </row>
    <row r="13" spans="1:7" x14ac:dyDescent="0.25">
      <c r="A13" s="2" t="s">
        <v>6</v>
      </c>
      <c r="B13">
        <v>65</v>
      </c>
      <c r="C13">
        <v>68</v>
      </c>
      <c r="D13">
        <v>70</v>
      </c>
      <c r="E13">
        <f>SUM(B13:D13)</f>
        <v>203</v>
      </c>
      <c r="F13" t="str">
        <f>IF(E13&gt;200,"Зачислен", "Не зачислен")</f>
        <v>Зачислен</v>
      </c>
      <c r="G13">
        <v>200</v>
      </c>
    </row>
    <row r="14" spans="1:7" x14ac:dyDescent="0.25">
      <c r="A14" s="3" t="s">
        <v>11</v>
      </c>
      <c r="B14">
        <v>56</v>
      </c>
      <c r="C14">
        <v>60</v>
      </c>
      <c r="D14">
        <v>71</v>
      </c>
      <c r="E14">
        <f>SUM(B14:D14)</f>
        <v>187</v>
      </c>
      <c r="F14" t="str">
        <f>IF(E14&gt;200,"Зачислен", "Не зачислен")</f>
        <v>Не зачислен</v>
      </c>
      <c r="G14">
        <v>200</v>
      </c>
    </row>
    <row r="15" spans="1:7" x14ac:dyDescent="0.25">
      <c r="A15" s="3" t="s">
        <v>17</v>
      </c>
      <c r="B15">
        <v>58</v>
      </c>
      <c r="C15">
        <v>67</v>
      </c>
      <c r="D15">
        <v>61</v>
      </c>
      <c r="E15">
        <f>SUM(B15:D15)</f>
        <v>186</v>
      </c>
      <c r="F15" t="str">
        <f>IF(E15&gt;200,"Зачислен", "Не зачислен")</f>
        <v>Не зачислен</v>
      </c>
      <c r="G15">
        <v>200</v>
      </c>
    </row>
    <row r="16" spans="1:7" x14ac:dyDescent="0.25">
      <c r="A16" s="3" t="s">
        <v>12</v>
      </c>
      <c r="B16">
        <v>48</v>
      </c>
      <c r="C16">
        <v>52</v>
      </c>
      <c r="D16">
        <v>55</v>
      </c>
      <c r="E16">
        <f>SUM(B16:D16)</f>
        <v>155</v>
      </c>
      <c r="F16" t="str">
        <f>IF(E16&gt;200,"Зачислен", "Не зачислен")</f>
        <v>Не зачислен</v>
      </c>
      <c r="G16">
        <v>200</v>
      </c>
    </row>
  </sheetData>
  <sortState xmlns:xlrd2="http://schemas.microsoft.com/office/spreadsheetml/2017/richdata2" ref="A2:F16">
    <sortCondition ref="F2:F16"/>
    <sortCondition descending="1" ref="E2:E16"/>
  </sortState>
  <conditionalFormatting sqref="A14">
    <cfRule type="cellIs" dxfId="1" priority="2" operator="equal">
      <formula>$F$14</formula>
    </cfRule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nenfiz</dc:creator>
  <cp:lastModifiedBy>Matrix Ix</cp:lastModifiedBy>
  <dcterms:created xsi:type="dcterms:W3CDTF">2015-06-05T18:19:34Z</dcterms:created>
  <dcterms:modified xsi:type="dcterms:W3CDTF">2025-12-04T18:05:01Z</dcterms:modified>
</cp:coreProperties>
</file>