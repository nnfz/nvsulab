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10470"/>
  </bookViews>
  <sheets>
    <sheet name="Задание" sheetId="1" r:id="rId1"/>
    <sheet name="Ключ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E19" i="2" s="1"/>
  <c r="D19" i="1"/>
  <c r="D19" i="2" s="1"/>
  <c r="F19" i="2"/>
  <c r="C19" i="2"/>
  <c r="D15" i="1"/>
  <c r="D15" i="2" s="1"/>
  <c r="B15" i="1"/>
  <c r="B15" i="2" s="1"/>
  <c r="B12" i="1"/>
  <c r="B12" i="2" s="1"/>
  <c r="B9" i="1"/>
  <c r="B9" i="2" s="1"/>
  <c r="F9" i="1"/>
  <c r="F9" i="2" s="1"/>
  <c r="D9" i="1"/>
  <c r="D9" i="2" s="1"/>
  <c r="D12" i="1"/>
  <c r="D12" i="2" s="1"/>
  <c r="F6" i="1"/>
  <c r="F6" i="2" s="1"/>
  <c r="B6" i="1"/>
  <c r="B6" i="2" s="1"/>
  <c r="D6" i="1"/>
  <c r="D6" i="2" s="1"/>
  <c r="C2" i="2" l="1"/>
  <c r="C22" i="2" s="1"/>
  <c r="B33" i="2" s="1"/>
  <c r="F3" i="2"/>
  <c r="D3" i="2"/>
  <c r="B3" i="2"/>
  <c r="F1" i="2"/>
  <c r="F37" i="2" l="1"/>
  <c r="F38" i="2"/>
  <c r="F39" i="2"/>
  <c r="F36" i="2"/>
  <c r="F10" i="2"/>
  <c r="D28" i="2" s="1"/>
  <c r="A17" i="1"/>
  <c r="I19" i="2"/>
  <c r="H19" i="2"/>
  <c r="G17" i="2"/>
  <c r="F18" i="2" s="1"/>
  <c r="D31" i="2" s="1"/>
  <c r="A22" i="2"/>
  <c r="A17" i="2"/>
  <c r="D16" i="2"/>
  <c r="C30" i="2" s="1"/>
  <c r="B16" i="2"/>
  <c r="B30" i="2" s="1"/>
  <c r="D13" i="2"/>
  <c r="C29" i="2" s="1"/>
  <c r="B13" i="2"/>
  <c r="B29" i="2" s="1"/>
  <c r="D10" i="2"/>
  <c r="C28" i="2" s="1"/>
  <c r="B10" i="2"/>
  <c r="B28" i="2" s="1"/>
  <c r="F7" i="2"/>
  <c r="D27" i="2" s="1"/>
  <c r="D7" i="2"/>
  <c r="C27" i="2" s="1"/>
  <c r="B7" i="2"/>
  <c r="B27" i="2" s="1"/>
  <c r="F15" i="1"/>
  <c r="F15" i="2" s="1"/>
  <c r="F16" i="2" s="1"/>
  <c r="D30" i="2" s="1"/>
  <c r="F12" i="1"/>
  <c r="F12" i="2" s="1"/>
  <c r="F13" i="2" s="1"/>
  <c r="D29" i="2" s="1"/>
  <c r="A22" i="1"/>
  <c r="J20" i="2" l="1"/>
  <c r="J21" i="2" s="1"/>
  <c r="F20" i="2" s="1"/>
  <c r="H20" i="2"/>
  <c r="H21" i="2" s="1"/>
  <c r="D20" i="2" s="1"/>
  <c r="G20" i="2"/>
  <c r="G21" i="2" s="1"/>
  <c r="C20" i="2" s="1"/>
  <c r="I20" i="2"/>
  <c r="I21" i="2" s="1"/>
  <c r="E20" i="2" s="1"/>
  <c r="C18" i="2"/>
  <c r="B31" i="2" s="1"/>
  <c r="B32" i="2" l="1"/>
  <c r="B36" i="2" s="1"/>
  <c r="D36" i="2" s="1"/>
  <c r="A24" i="1" l="1"/>
  <c r="A24" i="2"/>
</calcChain>
</file>

<file path=xl/comments1.xml><?xml version="1.0" encoding="utf-8"?>
<comments xmlns="http://schemas.openxmlformats.org/spreadsheetml/2006/main">
  <authors>
    <author>Admin</author>
    <author>note</author>
  </authors>
  <commentList>
    <comment ref="C2" authorId="0" shapeId="0">
      <text>
        <r>
          <rPr>
            <b/>
            <sz val="8"/>
            <color indexed="81"/>
            <rFont val="Tahoma"/>
            <family val="2"/>
            <charset val="204"/>
          </rPr>
          <t>Не более 30 символов!</t>
        </r>
      </text>
    </comment>
    <comment ref="F3" authorId="0" shapeId="0">
      <text>
        <r>
          <rPr>
            <sz val="8"/>
            <color indexed="81"/>
            <rFont val="Tahoma"/>
            <family val="2"/>
            <charset val="204"/>
          </rPr>
          <t>номер компьютера, считая от двери (по часовой стрелке)</t>
        </r>
      </text>
    </comment>
    <comment ref="F19" authorId="1" shapeId="0">
      <text>
        <r>
          <rPr>
            <b/>
            <sz val="8"/>
            <color indexed="81"/>
            <rFont val="Tahoma"/>
            <family val="2"/>
            <charset val="204"/>
          </rPr>
          <t>в Excel возведение в степень обозначается знаком ^</t>
        </r>
      </text>
    </comment>
    <comment ref="A21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  <comment ref="A23" authorId="1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коды можно найти в таблице символов</t>
        </r>
      </text>
    </comment>
  </commentList>
</comments>
</file>

<file path=xl/comments2.xml><?xml version="1.0" encoding="utf-8"?>
<comments xmlns="http://schemas.openxmlformats.org/spreadsheetml/2006/main">
  <authors>
    <author>note</author>
  </authors>
  <commentList>
    <comment ref="F19" authorId="0" shapeId="0">
      <text>
        <r>
          <rPr>
            <b/>
            <sz val="8"/>
            <color indexed="81"/>
            <rFont val="Tahoma"/>
            <family val="2"/>
            <charset val="204"/>
          </rPr>
          <t>в Excel возведение в степень обозначается знаком ^</t>
        </r>
      </text>
    </comment>
    <comment ref="A21" authorId="0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кодиы моэно найти в таблице символов</t>
        </r>
      </text>
    </comment>
    <comment ref="A23" authorId="0" shapeId="0">
      <text>
        <r>
          <rPr>
            <b/>
            <sz val="8"/>
            <color indexed="81"/>
            <rFont val="Tahoma"/>
            <family val="2"/>
            <charset val="204"/>
          </rPr>
          <t>note:</t>
        </r>
        <r>
          <rPr>
            <sz val="8"/>
            <color indexed="81"/>
            <rFont val="Tahoma"/>
            <family val="2"/>
            <charset val="204"/>
          </rPr>
          <t xml:space="preserve">
трехзначные шестнадцатеричные кодиы моэно найти в таблице символов</t>
        </r>
      </text>
    </comment>
  </commentList>
</comments>
</file>

<file path=xl/sharedStrings.xml><?xml version="1.0" encoding="utf-8"?>
<sst xmlns="http://schemas.openxmlformats.org/spreadsheetml/2006/main" count="98" uniqueCount="41">
  <si>
    <t>Лабораторная работа №1</t>
  </si>
  <si>
    <t>Фамилия Имя студента</t>
  </si>
  <si>
    <t>№ группы</t>
  </si>
  <si>
    <t>Дата рождения</t>
  </si>
  <si>
    <t>№ студ.билета</t>
  </si>
  <si>
    <t>Дата выполнения</t>
  </si>
  <si>
    <t>ответ</t>
  </si>
  <si>
    <t>1. Переведите в десятичную систему:</t>
  </si>
  <si>
    <t>2. Переведите в двоичную систему:</t>
  </si>
  <si>
    <t>3. Переведите в восьмеричную систему</t>
  </si>
  <si>
    <t>4. Переведите в шестнадцатеричную систему</t>
  </si>
  <si>
    <t>из 8-ричной</t>
  </si>
  <si>
    <t>из 16-ричной</t>
  </si>
  <si>
    <t>из 2-ичной</t>
  </si>
  <si>
    <t>из 10-ичной</t>
  </si>
  <si>
    <t>2^10 байт</t>
  </si>
  <si>
    <t>2 Кб</t>
  </si>
  <si>
    <t>при ASCII-кодировании</t>
  </si>
  <si>
    <t>при Unicode-кодировании</t>
  </si>
  <si>
    <t xml:space="preserve">6. Расставь в порядке возрастания: </t>
  </si>
  <si>
    <t>7. Закодируйте свои фамилию и имя в кодировке Windows 1251 (Кириллица)</t>
  </si>
  <si>
    <r>
      <t xml:space="preserve">Развернутое решение запишите в тетрадь, ответ введите в соответствующую ячейку. 
</t>
    </r>
    <r>
      <rPr>
        <b/>
        <sz val="12"/>
        <color rgb="FFC00000"/>
        <rFont val="Times New Roman"/>
        <family val="1"/>
        <charset val="204"/>
      </rPr>
      <t>Без решения в тетради результаты лабораторной не засчитываются!</t>
    </r>
  </si>
  <si>
    <t>8. Раскодируйте фразу из кодировки Windows 1251 (Кириллица)</t>
  </si>
  <si>
    <t xml:space="preserve">6. Расставьте величины в порядке возрастания: </t>
  </si>
  <si>
    <t>оценка</t>
  </si>
  <si>
    <t>отлично</t>
  </si>
  <si>
    <t>хорошо</t>
  </si>
  <si>
    <t>7. Закодируйте свои фамилию и имя в кодировке Windows-1251 (использовать 10-чные коды)</t>
  </si>
  <si>
    <t>8. Раскодируйте фразу из кодировки Windows 1251 (использовать 10-чные коды)</t>
  </si>
  <si>
    <t>плохо</t>
  </si>
  <si>
    <t>сойдет</t>
  </si>
  <si>
    <t>сумма</t>
  </si>
  <si>
    <r>
      <t xml:space="preserve">Развернутое решение запишите в тетрадь, ответ введите в соответствующую ячейку. 
</t>
    </r>
    <r>
      <rPr>
        <b/>
        <sz val="12"/>
        <color theme="0"/>
        <rFont val="Times New Roman"/>
        <family val="1"/>
        <charset val="204"/>
      </rPr>
      <t>Без решения в тетради результаты лабораторной не засчитываются!</t>
    </r>
  </si>
  <si>
    <t>№ варианта</t>
  </si>
  <si>
    <t>Ботников Максим</t>
  </si>
  <si>
    <t>2E</t>
  </si>
  <si>
    <t>D6</t>
  </si>
  <si>
    <t>7 E4</t>
  </si>
  <si>
    <t>1128 бит</t>
  </si>
  <si>
    <t>2024 байт</t>
  </si>
  <si>
    <t>19323824223723223423822632204224234241232236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</si>
</sst>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18"/>
      <color theme="1"/>
      <name val="Arial Black"/>
      <family val="2"/>
      <charset val="204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0"/>
      <name val="Calibri"/>
      <family val="2"/>
      <charset val="204"/>
      <scheme val="minor"/>
    </font>
    <font>
      <b/>
      <sz val="12"/>
      <color rgb="FFC00000"/>
      <name val="Times New Roman"/>
      <family val="1"/>
      <charset val="204"/>
    </font>
    <font>
      <sz val="11"/>
      <color theme="1"/>
      <name val="Comic Sans MS"/>
      <family val="4"/>
      <charset val="204"/>
    </font>
    <font>
      <sz val="12"/>
      <color theme="1"/>
      <name val="Comic Sans MS"/>
      <family val="4"/>
      <charset val="204"/>
    </font>
    <font>
      <sz val="7"/>
      <color theme="1"/>
      <name val="Verdana"/>
      <family val="2"/>
      <charset val="204"/>
    </font>
    <font>
      <sz val="7.5"/>
      <color theme="1"/>
      <name val="Verdana"/>
      <family val="2"/>
      <charset val="204"/>
    </font>
    <font>
      <i/>
      <sz val="12"/>
      <color theme="1"/>
      <name val="Times New Roman"/>
      <family val="1"/>
      <charset val="204"/>
    </font>
    <font>
      <b/>
      <sz val="11"/>
      <color theme="0"/>
      <name val="Courier New"/>
      <family val="3"/>
      <charset val="204"/>
    </font>
    <font>
      <b/>
      <sz val="11"/>
      <color theme="1"/>
      <name val="Courier New"/>
      <family val="3"/>
      <charset val="204"/>
    </font>
    <font>
      <sz val="18"/>
      <color theme="0"/>
      <name val="Arial Black"/>
      <family val="2"/>
      <charset val="204"/>
    </font>
    <font>
      <sz val="11"/>
      <color theme="0"/>
      <name val="Times New Roman"/>
      <family val="1"/>
      <charset val="204"/>
    </font>
    <font>
      <sz val="11"/>
      <color theme="0"/>
      <name val="Comic Sans MS"/>
      <family val="4"/>
      <charset val="204"/>
    </font>
    <font>
      <sz val="12"/>
      <color theme="0"/>
      <name val="Times New Roman"/>
      <family val="1"/>
      <charset val="204"/>
    </font>
    <font>
      <sz val="12"/>
      <color theme="0"/>
      <name val="Comic Sans MS"/>
      <family val="4"/>
      <charset val="204"/>
    </font>
    <font>
      <b/>
      <sz val="12"/>
      <color theme="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/>
    <xf numFmtId="0" fontId="10" fillId="0" borderId="0" xfId="0" applyFont="1" applyFill="1" applyBorder="1" applyAlignment="1">
      <alignment wrapText="1"/>
    </xf>
    <xf numFmtId="0" fontId="0" fillId="0" borderId="0" xfId="0" applyFill="1" applyBorder="1"/>
    <xf numFmtId="0" fontId="11" fillId="0" borderId="0" xfId="0" applyFont="1" applyFill="1" applyBorder="1" applyAlignment="1">
      <alignment wrapText="1"/>
    </xf>
    <xf numFmtId="0" fontId="4" fillId="0" borderId="3" xfId="0" applyFont="1" applyBorder="1" applyAlignment="1" applyProtection="1">
      <alignment horizontal="right" vertical="center"/>
      <protection hidden="1"/>
    </xf>
    <xf numFmtId="14" fontId="8" fillId="3" borderId="4" xfId="0" applyNumberFormat="1" applyFont="1" applyFill="1" applyBorder="1" applyAlignment="1" applyProtection="1">
      <alignment horizontal="center" vertical="center"/>
      <protection locked="0" hidden="1"/>
    </xf>
    <xf numFmtId="0" fontId="5" fillId="0" borderId="3" xfId="0" applyFont="1" applyBorder="1" applyAlignment="1" applyProtection="1">
      <alignment horizontal="right"/>
      <protection hidden="1"/>
    </xf>
    <xf numFmtId="14" fontId="9" fillId="3" borderId="4" xfId="0" applyNumberFormat="1" applyFont="1" applyFill="1" applyBorder="1" applyAlignment="1" applyProtection="1">
      <alignment horizontal="center"/>
      <protection locked="0" hidden="1"/>
    </xf>
    <xf numFmtId="0" fontId="9" fillId="3" borderId="4" xfId="0" applyFont="1" applyFill="1" applyBorder="1" applyAlignment="1" applyProtection="1">
      <alignment horizontal="center"/>
      <protection locked="0" hidden="1"/>
    </xf>
    <xf numFmtId="0" fontId="5" fillId="0" borderId="10" xfId="0" applyFont="1" applyBorder="1" applyAlignment="1" applyProtection="1">
      <alignment horizontal="right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right"/>
      <protection hidden="1"/>
    </xf>
    <xf numFmtId="0" fontId="5" fillId="0" borderId="1" xfId="0" applyNumberFormat="1" applyFont="1" applyBorder="1" applyAlignment="1" applyProtection="1">
      <alignment horizontal="center"/>
      <protection hidden="1"/>
    </xf>
    <xf numFmtId="0" fontId="9" fillId="3" borderId="13" xfId="0" applyFont="1" applyFill="1" applyBorder="1" applyAlignment="1" applyProtection="1">
      <alignment horizontal="center" vertical="center"/>
      <protection locked="0" hidden="1"/>
    </xf>
    <xf numFmtId="0" fontId="9" fillId="4" borderId="13" xfId="0" applyFont="1" applyFill="1" applyBorder="1" applyAlignment="1" applyProtection="1">
      <alignment horizontal="center" vertical="center"/>
      <protection locked="0" hidden="1"/>
    </xf>
    <xf numFmtId="0" fontId="9" fillId="5" borderId="13" xfId="0" applyFont="1" applyFill="1" applyBorder="1" applyAlignment="1" applyProtection="1">
      <alignment horizontal="center" vertical="center"/>
      <protection locked="0" hidden="1"/>
    </xf>
    <xf numFmtId="0" fontId="9" fillId="6" borderId="11" xfId="0" applyFont="1" applyFill="1" applyBorder="1" applyAlignment="1" applyProtection="1">
      <alignment horizontal="center" vertical="center"/>
      <protection locked="0" hidden="1"/>
    </xf>
    <xf numFmtId="0" fontId="5" fillId="0" borderId="7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/>
      <protection hidden="1"/>
    </xf>
    <xf numFmtId="0" fontId="5" fillId="0" borderId="24" xfId="0" applyFont="1" applyBorder="1" applyAlignment="1" applyProtection="1">
      <alignment horizontal="right"/>
      <protection hidden="1"/>
    </xf>
    <xf numFmtId="0" fontId="5" fillId="0" borderId="25" xfId="0" applyFont="1" applyBorder="1" applyAlignment="1" applyProtection="1">
      <alignment horizontal="center"/>
      <protection hidden="1"/>
    </xf>
    <xf numFmtId="0" fontId="9" fillId="3" borderId="13" xfId="0" applyFont="1" applyFill="1" applyBorder="1" applyAlignment="1" applyProtection="1">
      <alignment horizontal="center"/>
      <protection locked="0" hidden="1"/>
    </xf>
    <xf numFmtId="0" fontId="5" fillId="0" borderId="13" xfId="0" applyFont="1" applyBorder="1" applyAlignment="1" applyProtection="1">
      <alignment horizontal="right"/>
      <protection hidden="1"/>
    </xf>
    <xf numFmtId="0" fontId="9" fillId="4" borderId="13" xfId="0" applyFont="1" applyFill="1" applyBorder="1" applyAlignment="1" applyProtection="1">
      <alignment horizontal="center"/>
      <protection locked="0" hidden="1"/>
    </xf>
    <xf numFmtId="0" fontId="9" fillId="5" borderId="11" xfId="0" applyFont="1" applyFill="1" applyBorder="1" applyAlignment="1" applyProtection="1">
      <alignment horizontal="center"/>
      <protection locked="0" hidden="1"/>
    </xf>
    <xf numFmtId="0" fontId="6" fillId="0" borderId="0" xfId="0" applyFont="1" applyFill="1" applyBorder="1" applyProtection="1">
      <protection hidden="1"/>
    </xf>
    <xf numFmtId="0" fontId="13" fillId="0" borderId="0" xfId="0" applyFont="1" applyFill="1" applyBorder="1" applyAlignment="1" applyProtection="1">
      <alignment horizontal="center" vertical="center" wrapText="1"/>
      <protection hidden="1"/>
    </xf>
    <xf numFmtId="4" fontId="6" fillId="0" borderId="0" xfId="0" applyNumberFormat="1" applyFont="1" applyFill="1" applyBorder="1" applyAlignment="1" applyProtection="1">
      <protection hidden="1"/>
    </xf>
    <xf numFmtId="0" fontId="0" fillId="0" borderId="0" xfId="0" applyFont="1" applyFill="1" applyBorder="1" applyProtection="1">
      <protection hidden="1"/>
    </xf>
    <xf numFmtId="0" fontId="14" fillId="0" borderId="0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wrapText="1"/>
      <protection hidden="1"/>
    </xf>
    <xf numFmtId="0" fontId="11" fillId="0" borderId="0" xfId="0" applyFont="1" applyFill="1" applyBorder="1" applyAlignment="1" applyProtection="1">
      <alignment wrapText="1"/>
      <protection hidden="1"/>
    </xf>
    <xf numFmtId="4" fontId="0" fillId="0" borderId="0" xfId="0" applyNumberFormat="1" applyFont="1" applyFill="1" applyBorder="1" applyAlignment="1" applyProtection="1">
      <protection hidden="1"/>
    </xf>
    <xf numFmtId="0" fontId="16" fillId="0" borderId="0" xfId="0" applyFont="1" applyFill="1" applyBorder="1" applyAlignment="1" applyProtection="1">
      <alignment horizontal="right" vertical="center"/>
      <protection hidden="1"/>
    </xf>
    <xf numFmtId="14" fontId="17" fillId="0" borderId="0" xfId="0" applyNumberFormat="1" applyFont="1" applyFill="1" applyBorder="1" applyAlignment="1" applyProtection="1">
      <alignment horizontal="center" vertical="center"/>
      <protection hidden="1"/>
    </xf>
    <xf numFmtId="14" fontId="19" fillId="0" borderId="0" xfId="0" applyNumberFormat="1" applyFont="1" applyFill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center"/>
      <protection hidden="1"/>
    </xf>
    <xf numFmtId="0" fontId="18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Font="1" applyFill="1" applyBorder="1" applyAlignment="1" applyProtection="1">
      <alignment horizontal="right"/>
      <protection hidden="1"/>
    </xf>
    <xf numFmtId="0" fontId="18" fillId="0" borderId="0" xfId="0" applyFont="1" applyFill="1" applyBorder="1" applyAlignment="1" applyProtection="1">
      <alignment horizontal="right"/>
      <protection hidden="1"/>
    </xf>
    <xf numFmtId="0" fontId="19" fillId="0" borderId="0" xfId="0" applyFont="1" applyFill="1" applyBorder="1" applyAlignment="1" applyProtection="1">
      <alignment horizontal="center"/>
      <protection hidden="1"/>
    </xf>
    <xf numFmtId="0" fontId="6" fillId="0" borderId="0" xfId="0" applyFont="1" applyFill="1" applyBorder="1" applyAlignment="1" applyProtection="1">
      <alignment horizontal="center"/>
      <protection hidden="1"/>
    </xf>
    <xf numFmtId="1" fontId="5" fillId="0" borderId="1" xfId="0" applyNumberFormat="1" applyFont="1" applyBorder="1" applyAlignment="1" applyProtection="1">
      <alignment horizontal="center"/>
      <protection hidden="1"/>
    </xf>
    <xf numFmtId="0" fontId="5" fillId="0" borderId="25" xfId="0" applyNumberFormat="1" applyFont="1" applyBorder="1" applyAlignment="1" applyProtection="1">
      <alignment horizontal="center"/>
      <protection hidden="1"/>
    </xf>
    <xf numFmtId="0" fontId="9" fillId="4" borderId="13" xfId="0" applyNumberFormat="1" applyFont="1" applyFill="1" applyBorder="1" applyAlignment="1" applyProtection="1">
      <alignment horizontal="center"/>
      <protection locked="0" hidden="1"/>
    </xf>
    <xf numFmtId="0" fontId="9" fillId="4" borderId="11" xfId="0" applyFont="1" applyFill="1" applyBorder="1" applyAlignment="1" applyProtection="1">
      <alignment horizontal="center" vertical="center"/>
      <protection locked="0" hidden="1"/>
    </xf>
    <xf numFmtId="1" fontId="18" fillId="0" borderId="0" xfId="0" applyNumberFormat="1" applyFont="1" applyFill="1" applyBorder="1" applyAlignment="1" applyProtection="1">
      <alignment horizontal="center"/>
      <protection hidden="1"/>
    </xf>
    <xf numFmtId="0" fontId="12" fillId="2" borderId="21" xfId="0" applyFont="1" applyFill="1" applyBorder="1" applyAlignment="1" applyProtection="1">
      <alignment vertical="center" wrapText="1"/>
      <protection hidden="1"/>
    </xf>
    <xf numFmtId="0" fontId="12" fillId="2" borderId="22" xfId="0" applyFont="1" applyFill="1" applyBorder="1" applyAlignment="1" applyProtection="1">
      <alignment vertical="center" wrapText="1"/>
      <protection hidden="1"/>
    </xf>
    <xf numFmtId="0" fontId="12" fillId="2" borderId="19" xfId="0" applyFont="1" applyFill="1" applyBorder="1" applyAlignment="1" applyProtection="1">
      <alignment vertical="center" wrapText="1"/>
      <protection hidden="1"/>
    </xf>
    <xf numFmtId="0" fontId="12" fillId="2" borderId="20" xfId="0" applyFont="1" applyFill="1" applyBorder="1" applyAlignment="1" applyProtection="1">
      <alignment vertical="center" wrapText="1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6" xfId="0" applyFont="1" applyBorder="1" applyAlignment="1" applyProtection="1">
      <alignment horizontal="center"/>
      <protection hidden="1"/>
    </xf>
    <xf numFmtId="0" fontId="9" fillId="3" borderId="28" xfId="0" applyFont="1" applyFill="1" applyBorder="1" applyAlignment="1" applyProtection="1">
      <alignment horizontal="center"/>
      <protection locked="0" hidden="1"/>
    </xf>
    <xf numFmtId="0" fontId="9" fillId="3" borderId="29" xfId="0" applyFont="1" applyFill="1" applyBorder="1" applyAlignment="1" applyProtection="1">
      <alignment horizontal="center"/>
      <protection locked="0" hidden="1"/>
    </xf>
    <xf numFmtId="0" fontId="9" fillId="3" borderId="30" xfId="0" applyFont="1" applyFill="1" applyBorder="1" applyAlignment="1" applyProtection="1">
      <alignment horizontal="center"/>
      <protection locked="0" hidden="1"/>
    </xf>
    <xf numFmtId="0" fontId="5" fillId="0" borderId="3" xfId="0" applyFont="1" applyBorder="1" applyAlignment="1" applyProtection="1">
      <alignment horizontal="right"/>
      <protection hidden="1"/>
    </xf>
    <xf numFmtId="0" fontId="5" fillId="0" borderId="5" xfId="0" applyFont="1" applyBorder="1" applyAlignment="1" applyProtection="1">
      <alignment horizontal="right"/>
      <protection hidden="1"/>
    </xf>
    <xf numFmtId="0" fontId="12" fillId="2" borderId="8" xfId="0" applyFont="1" applyFill="1" applyBorder="1" applyProtection="1">
      <protection hidden="1"/>
    </xf>
    <xf numFmtId="0" fontId="12" fillId="2" borderId="12" xfId="0" applyFont="1" applyFill="1" applyBorder="1" applyProtection="1">
      <protection hidden="1"/>
    </xf>
    <xf numFmtId="0" fontId="12" fillId="2" borderId="9" xfId="0" applyFont="1" applyFill="1" applyBorder="1" applyProtection="1">
      <protection hidden="1"/>
    </xf>
    <xf numFmtId="0" fontId="5" fillId="0" borderId="27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/>
      <protection hidden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 applyProtection="1">
      <alignment horizontal="left"/>
      <protection hidden="1"/>
    </xf>
    <xf numFmtId="0" fontId="12" fillId="2" borderId="12" xfId="0" applyFont="1" applyFill="1" applyBorder="1" applyAlignment="1" applyProtection="1">
      <alignment horizontal="left"/>
      <protection hidden="1"/>
    </xf>
    <xf numFmtId="0" fontId="12" fillId="2" borderId="9" xfId="0" applyFont="1" applyFill="1" applyBorder="1" applyAlignment="1" applyProtection="1">
      <alignment horizontal="left"/>
      <protection hidden="1"/>
    </xf>
    <xf numFmtId="0" fontId="12" fillId="2" borderId="26" xfId="0" applyFont="1" applyFill="1" applyBorder="1" applyProtection="1">
      <protection hidden="1"/>
    </xf>
    <xf numFmtId="0" fontId="12" fillId="2" borderId="7" xfId="0" applyFont="1" applyFill="1" applyBorder="1" applyProtection="1">
      <protection hidden="1"/>
    </xf>
    <xf numFmtId="0" fontId="12" fillId="2" borderId="23" xfId="0" applyFont="1" applyFill="1" applyBorder="1" applyProtection="1">
      <protection hidden="1"/>
    </xf>
    <xf numFmtId="0" fontId="5" fillId="0" borderId="10" xfId="0" applyFont="1" applyFill="1" applyBorder="1" applyAlignment="1" applyProtection="1">
      <alignment horizontal="right"/>
      <protection hidden="1"/>
    </xf>
    <xf numFmtId="0" fontId="5" fillId="0" borderId="13" xfId="0" applyFont="1" applyFill="1" applyBorder="1" applyAlignment="1" applyProtection="1">
      <alignment horizontal="right"/>
      <protection hidden="1"/>
    </xf>
    <xf numFmtId="0" fontId="5" fillId="0" borderId="13" xfId="0" applyFont="1" applyBorder="1" applyAlignment="1" applyProtection="1">
      <alignment horizontal="right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7" xfId="0" applyFont="1" applyBorder="1" applyAlignment="1" applyProtection="1">
      <alignment horizontal="center"/>
      <protection hidden="1"/>
    </xf>
    <xf numFmtId="0" fontId="9" fillId="3" borderId="16" xfId="0" applyFont="1" applyFill="1" applyBorder="1" applyAlignment="1" applyProtection="1">
      <alignment horizontal="center"/>
      <protection locked="0" hidden="1"/>
    </xf>
    <xf numFmtId="0" fontId="9" fillId="3" borderId="17" xfId="0" applyFont="1" applyFill="1" applyBorder="1" applyAlignment="1" applyProtection="1">
      <alignment horizontal="center"/>
      <protection locked="0" hidden="1"/>
    </xf>
    <xf numFmtId="0" fontId="9" fillId="3" borderId="18" xfId="0" applyFont="1" applyFill="1" applyBorder="1" applyAlignment="1" applyProtection="1">
      <alignment horizontal="center"/>
      <protection locked="0"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5" fillId="0" borderId="15" xfId="0" applyFont="1" applyBorder="1" applyAlignment="1" applyProtection="1">
      <alignment horizontal="center" vertical="center"/>
      <protection hidden="1"/>
    </xf>
    <xf numFmtId="49" fontId="9" fillId="3" borderId="16" xfId="0" applyNumberFormat="1" applyFont="1" applyFill="1" applyBorder="1" applyAlignment="1" applyProtection="1">
      <alignment horizontal="center" vertical="center" wrapText="1"/>
      <protection locked="0" hidden="1"/>
    </xf>
    <xf numFmtId="49" fontId="9" fillId="3" borderId="17" xfId="0" applyNumberFormat="1" applyFont="1" applyFill="1" applyBorder="1" applyAlignment="1" applyProtection="1">
      <alignment horizontal="center" vertical="center" wrapText="1"/>
      <protection locked="0" hidden="1"/>
    </xf>
    <xf numFmtId="49" fontId="9" fillId="3" borderId="15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0" borderId="0" xfId="0" applyFont="1" applyFill="1" applyBorder="1" applyProtection="1">
      <protection hidden="1"/>
    </xf>
    <xf numFmtId="0" fontId="15" fillId="0" borderId="0" xfId="0" applyFont="1" applyFill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right"/>
      <protection hidden="1"/>
    </xf>
    <xf numFmtId="0" fontId="19" fillId="0" borderId="0" xfId="0" applyFont="1" applyFill="1" applyBorder="1" applyAlignment="1" applyProtection="1">
      <alignment horizontal="center"/>
      <protection hidden="1"/>
    </xf>
    <xf numFmtId="0" fontId="18" fillId="0" borderId="0" xfId="0" applyFont="1" applyFill="1" applyBorder="1" applyAlignment="1" applyProtection="1">
      <alignment horizontal="center" vertical="center" wrapText="1"/>
      <protection hidden="1"/>
    </xf>
    <xf numFmtId="0" fontId="18" fillId="0" borderId="0" xfId="0" applyFont="1" applyFill="1" applyBorder="1" applyAlignment="1" applyProtection="1">
      <alignment horizontal="center" vertical="center"/>
      <protection hidden="1"/>
    </xf>
    <xf numFmtId="0" fontId="18" fillId="0" borderId="0" xfId="0" applyFont="1" applyFill="1" applyBorder="1" applyAlignment="1" applyProtection="1">
      <alignment horizontal="left"/>
      <protection hidden="1"/>
    </xf>
    <xf numFmtId="0" fontId="18" fillId="0" borderId="0" xfId="0" applyFont="1" applyFill="1" applyBorder="1" applyAlignment="1" applyProtection="1">
      <alignment vertical="center"/>
      <protection hidden="1"/>
    </xf>
    <xf numFmtId="0" fontId="16" fillId="0" borderId="0" xfId="0" applyFont="1" applyFill="1" applyBorder="1" applyAlignment="1" applyProtection="1">
      <alignment horizontal="center"/>
      <protection hidden="1"/>
    </xf>
    <xf numFmtId="0" fontId="6" fillId="0" borderId="0" xfId="0" applyFont="1" applyFill="1" applyBorder="1" applyAlignment="1" applyProtection="1">
      <alignment horizontal="center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49" fontId="6" fillId="0" borderId="0" xfId="0" applyNumberFormat="1" applyFont="1" applyFill="1" applyBorder="1" applyAlignment="1" applyProtection="1">
      <alignment horizontal="center" vertical="center" wrapText="1"/>
      <protection hidden="1"/>
    </xf>
    <xf numFmtId="11" fontId="9" fillId="5" borderId="11" xfId="0" applyNumberFormat="1" applyFont="1" applyFill="1" applyBorder="1" applyAlignment="1" applyProtection="1">
      <alignment horizontal="center"/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22" sqref="C22:F22"/>
    </sheetView>
  </sheetViews>
  <sheetFormatPr defaultRowHeight="15" x14ac:dyDescent="0.25"/>
  <cols>
    <col min="1" max="6" width="20.7109375" customWidth="1"/>
  </cols>
  <sheetData>
    <row r="1" spans="1:6" ht="27.75" thickBot="1" x14ac:dyDescent="0.55000000000000004">
      <c r="A1" s="52" t="s">
        <v>0</v>
      </c>
      <c r="B1" s="52"/>
      <c r="C1" s="52"/>
      <c r="D1" s="53"/>
      <c r="E1" s="5" t="s">
        <v>5</v>
      </c>
      <c r="F1" s="6">
        <v>45940</v>
      </c>
    </row>
    <row r="2" spans="1:6" ht="20.25" thickBot="1" x14ac:dyDescent="0.45">
      <c r="A2" s="57" t="s">
        <v>1</v>
      </c>
      <c r="B2" s="58"/>
      <c r="C2" s="54" t="s">
        <v>34</v>
      </c>
      <c r="D2" s="55"/>
      <c r="E2" s="55"/>
      <c r="F2" s="56"/>
    </row>
    <row r="3" spans="1:6" ht="20.25" thickBot="1" x14ac:dyDescent="0.45">
      <c r="A3" s="7" t="s">
        <v>3</v>
      </c>
      <c r="B3" s="8">
        <v>39184</v>
      </c>
      <c r="C3" s="7" t="s">
        <v>2</v>
      </c>
      <c r="D3" s="9">
        <v>1111</v>
      </c>
      <c r="E3" s="7" t="s">
        <v>33</v>
      </c>
      <c r="F3" s="9">
        <v>17</v>
      </c>
    </row>
    <row r="4" spans="1:6" ht="49.15" customHeight="1" thickBot="1" x14ac:dyDescent="0.3">
      <c r="A4" s="62" t="s">
        <v>21</v>
      </c>
      <c r="B4" s="63"/>
      <c r="C4" s="63"/>
      <c r="D4" s="63"/>
      <c r="E4" s="63"/>
      <c r="F4" s="64"/>
    </row>
    <row r="5" spans="1:6" ht="15.75" x14ac:dyDescent="0.25">
      <c r="A5" s="65" t="s">
        <v>7</v>
      </c>
      <c r="B5" s="66"/>
      <c r="C5" s="66"/>
      <c r="D5" s="66"/>
      <c r="E5" s="66"/>
      <c r="F5" s="67"/>
    </row>
    <row r="6" spans="1:6" ht="15.75" x14ac:dyDescent="0.25">
      <c r="A6" s="20" t="s">
        <v>13</v>
      </c>
      <c r="B6" s="11" t="str">
        <f>DEC2BIN((YEAR($F$1)-YEAR($B$3))*10+DAY($B$3)+MONTH($B$3))</f>
        <v>11000100</v>
      </c>
      <c r="C6" s="12" t="s">
        <v>11</v>
      </c>
      <c r="D6" s="11" t="str">
        <f>DEC2OCT((YEAR($F$1)-YEAR($B$3))*10+F3)</f>
        <v>305</v>
      </c>
      <c r="E6" s="12" t="s">
        <v>12</v>
      </c>
      <c r="F6" s="21" t="str">
        <f>DEC2HEX((YEAR($F$1)-YEAR($B$3))*10+DAY($B$3)+MONTH($B$3)+F3)</f>
        <v>D5</v>
      </c>
    </row>
    <row r="7" spans="1:6" ht="20.25" thickBot="1" x14ac:dyDescent="0.45">
      <c r="A7" s="10" t="s">
        <v>6</v>
      </c>
      <c r="B7" s="22">
        <v>196</v>
      </c>
      <c r="C7" s="23" t="s">
        <v>6</v>
      </c>
      <c r="D7" s="24">
        <v>197</v>
      </c>
      <c r="E7" s="23" t="s">
        <v>6</v>
      </c>
      <c r="F7" s="25">
        <v>213</v>
      </c>
    </row>
    <row r="8" spans="1:6" ht="15.75" x14ac:dyDescent="0.25">
      <c r="A8" s="59" t="s">
        <v>8</v>
      </c>
      <c r="B8" s="60"/>
      <c r="C8" s="60"/>
      <c r="D8" s="60"/>
      <c r="E8" s="60"/>
      <c r="F8" s="61"/>
    </row>
    <row r="9" spans="1:6" ht="15.75" x14ac:dyDescent="0.25">
      <c r="A9" s="20" t="s">
        <v>14</v>
      </c>
      <c r="B9" s="43">
        <f>100-F3-MONTH($B$3)</f>
        <v>79</v>
      </c>
      <c r="C9" s="12" t="s">
        <v>14</v>
      </c>
      <c r="D9" s="13">
        <f>254-DAY($B$3)-F3</f>
        <v>225</v>
      </c>
      <c r="E9" s="12" t="s">
        <v>14</v>
      </c>
      <c r="F9" s="44">
        <f>500-QUOTIENT($D$3,100)-MONTH($B$3)</f>
        <v>485</v>
      </c>
    </row>
    <row r="10" spans="1:6" ht="20.25" thickBot="1" x14ac:dyDescent="0.45">
      <c r="A10" s="10" t="s">
        <v>6</v>
      </c>
      <c r="B10" s="22">
        <v>1001111</v>
      </c>
      <c r="C10" s="23" t="s">
        <v>6</v>
      </c>
      <c r="D10" s="24">
        <v>11100001</v>
      </c>
      <c r="E10" s="23" t="s">
        <v>6</v>
      </c>
      <c r="F10" s="25">
        <v>111100101</v>
      </c>
    </row>
    <row r="11" spans="1:6" ht="15.75" x14ac:dyDescent="0.25">
      <c r="A11" s="59" t="s">
        <v>9</v>
      </c>
      <c r="B11" s="60"/>
      <c r="C11" s="60"/>
      <c r="D11" s="60"/>
      <c r="E11" s="60"/>
      <c r="F11" s="61"/>
    </row>
    <row r="12" spans="1:6" ht="15.75" x14ac:dyDescent="0.25">
      <c r="A12" s="20" t="s">
        <v>14</v>
      </c>
      <c r="B12" s="13">
        <f>64+F3</f>
        <v>81</v>
      </c>
      <c r="C12" s="12" t="s">
        <v>14</v>
      </c>
      <c r="D12" s="11">
        <f>D3-_xlfn.FLOOR.MATH(D3,1000)</f>
        <v>111</v>
      </c>
      <c r="E12" s="12" t="s">
        <v>14</v>
      </c>
      <c r="F12" s="21">
        <f>YEAR($B$3)-MONTH($B$3)+9</f>
        <v>2012</v>
      </c>
    </row>
    <row r="13" spans="1:6" ht="20.25" thickBot="1" x14ac:dyDescent="0.45">
      <c r="A13" s="10" t="s">
        <v>6</v>
      </c>
      <c r="B13" s="22">
        <v>121</v>
      </c>
      <c r="C13" s="23" t="s">
        <v>6</v>
      </c>
      <c r="D13" s="24">
        <v>157</v>
      </c>
      <c r="E13" s="23" t="s">
        <v>6</v>
      </c>
      <c r="F13" s="25">
        <v>3734</v>
      </c>
    </row>
    <row r="14" spans="1:6" ht="15.75" x14ac:dyDescent="0.25">
      <c r="A14" s="68" t="s">
        <v>10</v>
      </c>
      <c r="B14" s="69"/>
      <c r="C14" s="69"/>
      <c r="D14" s="69"/>
      <c r="E14" s="69"/>
      <c r="F14" s="70"/>
    </row>
    <row r="15" spans="1:6" ht="15.75" x14ac:dyDescent="0.25">
      <c r="A15" s="20" t="s">
        <v>14</v>
      </c>
      <c r="B15" s="13">
        <f>F3+DAY($B$3)+17</f>
        <v>46</v>
      </c>
      <c r="C15" s="12" t="s">
        <v>14</v>
      </c>
      <c r="D15" s="11">
        <f>(YEAR($F$1)-YEAR($B$3))*10+F3+17</f>
        <v>214</v>
      </c>
      <c r="E15" s="12" t="s">
        <v>14</v>
      </c>
      <c r="F15" s="21">
        <f>YEAR($B$3)-MONTH($B$3)+17</f>
        <v>2020</v>
      </c>
    </row>
    <row r="16" spans="1:6" ht="20.25" thickBot="1" x14ac:dyDescent="0.45">
      <c r="A16" s="10" t="s">
        <v>6</v>
      </c>
      <c r="B16" s="22" t="s">
        <v>35</v>
      </c>
      <c r="C16" s="23" t="s">
        <v>6</v>
      </c>
      <c r="D16" s="45" t="s">
        <v>36</v>
      </c>
      <c r="E16" s="23" t="s">
        <v>6</v>
      </c>
      <c r="F16" s="96" t="s">
        <v>37</v>
      </c>
    </row>
    <row r="17" spans="1:6" ht="15.75" x14ac:dyDescent="0.25">
      <c r="A17" s="59" t="str">
        <f>CONCATENATE("5. Определите информационный объем текста [студент НВГУ группы №",D3," ",C2,"] в байтах")</f>
        <v>5. Определите информационный объем текста [студент НВГУ группы №1111 Ботников Максим] в байтах</v>
      </c>
      <c r="B17" s="60"/>
      <c r="C17" s="60"/>
      <c r="D17" s="60"/>
      <c r="E17" s="60"/>
      <c r="F17" s="61"/>
    </row>
    <row r="18" spans="1:6" ht="20.25" thickBot="1" x14ac:dyDescent="0.3">
      <c r="A18" s="71" t="s">
        <v>17</v>
      </c>
      <c r="B18" s="72"/>
      <c r="C18" s="14">
        <v>41</v>
      </c>
      <c r="D18" s="73" t="s">
        <v>18</v>
      </c>
      <c r="E18" s="73"/>
      <c r="F18" s="46">
        <v>82</v>
      </c>
    </row>
    <row r="19" spans="1:6" ht="15.75" x14ac:dyDescent="0.25">
      <c r="A19" s="48" t="s">
        <v>23</v>
      </c>
      <c r="B19" s="49"/>
      <c r="C19" s="18" t="s">
        <v>16</v>
      </c>
      <c r="D19" s="18" t="str">
        <f>CONCATENATE(D3+F3," бит")</f>
        <v>1128 бит</v>
      </c>
      <c r="E19" s="18" t="str">
        <f>CONCATENATE(YEAR(B3)+F3, " байт")</f>
        <v>2024 байт</v>
      </c>
      <c r="F19" s="19" t="s">
        <v>15</v>
      </c>
    </row>
    <row r="20" spans="1:6" ht="20.25" thickBot="1" x14ac:dyDescent="0.3">
      <c r="A20" s="50"/>
      <c r="B20" s="51"/>
      <c r="C20" s="14" t="s">
        <v>38</v>
      </c>
      <c r="D20" s="15" t="s">
        <v>15</v>
      </c>
      <c r="E20" s="16" t="s">
        <v>39</v>
      </c>
      <c r="F20" s="17" t="s">
        <v>16</v>
      </c>
    </row>
    <row r="21" spans="1:6" ht="15.75" x14ac:dyDescent="0.25">
      <c r="A21" s="59" t="s">
        <v>20</v>
      </c>
      <c r="B21" s="60"/>
      <c r="C21" s="60"/>
      <c r="D21" s="60"/>
      <c r="E21" s="60"/>
      <c r="F21" s="61"/>
    </row>
    <row r="22" spans="1:6" ht="36" customHeight="1" thickBot="1" x14ac:dyDescent="0.3">
      <c r="A22" s="79" t="str">
        <f>C2</f>
        <v>Ботников Максим</v>
      </c>
      <c r="B22" s="80"/>
      <c r="C22" s="81" t="s">
        <v>40</v>
      </c>
      <c r="D22" s="82"/>
      <c r="E22" s="82"/>
      <c r="F22" s="83"/>
    </row>
    <row r="23" spans="1:6" ht="15.75" x14ac:dyDescent="0.25">
      <c r="A23" s="59" t="s">
        <v>22</v>
      </c>
      <c r="B23" s="60"/>
      <c r="C23" s="60"/>
      <c r="D23" s="60"/>
      <c r="E23" s="60"/>
      <c r="F23" s="61"/>
    </row>
    <row r="24" spans="1:6" ht="20.25" thickBot="1" x14ac:dyDescent="0.45">
      <c r="A24" s="74" t="str">
        <f>VLOOKUP(Ключ!D36,Ключ!$E$36:'Ключ'!$J$39,2)</f>
        <v>238242235232247237238</v>
      </c>
      <c r="B24" s="75"/>
      <c r="C24" s="75"/>
      <c r="D24" s="76" t="s">
        <v>25</v>
      </c>
      <c r="E24" s="77"/>
      <c r="F24" s="78"/>
    </row>
  </sheetData>
  <sheetProtection algorithmName="SHA-512" hashValue="FFUWBwSrQEiGv+VmHVVU734aYE+XB1ASwBqt5+DzvSTgPVLUJ2oKrfpyIq3UMbo/cuuZ40lJ33DjLpyTGwi6Rw==" saltValue="INqPSsHDwzFy78VWoyG/QA==" spinCount="100000" sheet="1" objects="1" scenarios="1" selectLockedCells="1"/>
  <mergeCells count="18">
    <mergeCell ref="A24:C24"/>
    <mergeCell ref="D24:F24"/>
    <mergeCell ref="A21:F21"/>
    <mergeCell ref="A22:B22"/>
    <mergeCell ref="C22:F22"/>
    <mergeCell ref="A23:F23"/>
    <mergeCell ref="A19:B20"/>
    <mergeCell ref="A1:D1"/>
    <mergeCell ref="C2:F2"/>
    <mergeCell ref="A2:B2"/>
    <mergeCell ref="A8:F8"/>
    <mergeCell ref="A4:F4"/>
    <mergeCell ref="A5:F5"/>
    <mergeCell ref="A11:F11"/>
    <mergeCell ref="A14:F14"/>
    <mergeCell ref="A17:F17"/>
    <mergeCell ref="A18:B18"/>
    <mergeCell ref="D18:E18"/>
  </mergeCells>
  <dataValidations count="3">
    <dataValidation type="whole" errorStyle="warning" allowBlank="1" showInputMessage="1" showErrorMessage="1" error="Только число!" sqref="D3">
      <formula1>1</formula1>
      <formula2>100</formula2>
    </dataValidation>
    <dataValidation type="list" allowBlank="1" showInputMessage="1" showErrorMessage="1" sqref="C20:F20">
      <formula1>$C$19:$F$19</formula1>
    </dataValidation>
    <dataValidation type="textLength" allowBlank="1" showInputMessage="1" showErrorMessage="1" sqref="C2:F2">
      <formula1>0</formula1>
      <formula2>30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68"/>
  <sheetViews>
    <sheetView zoomScale="85" zoomScaleNormal="85" workbookViewId="0">
      <selection sqref="A1:F40"/>
    </sheetView>
  </sheetViews>
  <sheetFormatPr defaultColWidth="8.85546875" defaultRowHeight="15" x14ac:dyDescent="0.25"/>
  <cols>
    <col min="1" max="6" width="16.7109375" style="1" customWidth="1"/>
    <col min="7" max="7" width="8.85546875" style="1"/>
    <col min="8" max="8" width="9.5703125" style="1" bestFit="1" customWidth="1"/>
    <col min="9" max="16384" width="8.85546875" style="1"/>
  </cols>
  <sheetData>
    <row r="1" spans="1:24" ht="27" x14ac:dyDescent="0.5">
      <c r="A1" s="85" t="s">
        <v>0</v>
      </c>
      <c r="B1" s="85"/>
      <c r="C1" s="85"/>
      <c r="D1" s="85"/>
      <c r="E1" s="34" t="s">
        <v>5</v>
      </c>
      <c r="F1" s="35">
        <f>Задание!F1</f>
        <v>45940</v>
      </c>
      <c r="G1" s="29"/>
      <c r="H1" s="29"/>
      <c r="I1" s="29"/>
      <c r="J1" s="29"/>
    </row>
    <row r="2" spans="1:24" ht="19.5" x14ac:dyDescent="0.4">
      <c r="A2" s="86" t="s">
        <v>1</v>
      </c>
      <c r="B2" s="86"/>
      <c r="C2" s="87" t="str">
        <f>Задание!C2</f>
        <v>Ботников Максим</v>
      </c>
      <c r="D2" s="87"/>
      <c r="E2" s="87"/>
      <c r="F2" s="87"/>
      <c r="G2" s="29"/>
      <c r="H2" s="29"/>
      <c r="I2" s="29"/>
      <c r="J2" s="29"/>
    </row>
    <row r="3" spans="1:24" ht="19.5" x14ac:dyDescent="0.4">
      <c r="A3" s="40" t="s">
        <v>3</v>
      </c>
      <c r="B3" s="36">
        <f>Задание!B3</f>
        <v>39184</v>
      </c>
      <c r="C3" s="40" t="s">
        <v>2</v>
      </c>
      <c r="D3" s="41">
        <f>Задание!D3</f>
        <v>1111</v>
      </c>
      <c r="E3" s="40" t="s">
        <v>4</v>
      </c>
      <c r="F3" s="41">
        <f>Задание!F3</f>
        <v>17</v>
      </c>
      <c r="G3" s="29"/>
      <c r="H3" s="29"/>
      <c r="I3" s="29"/>
      <c r="J3" s="29"/>
    </row>
    <row r="4" spans="1:24" ht="49.15" customHeight="1" x14ac:dyDescent="0.25">
      <c r="A4" s="88" t="s">
        <v>32</v>
      </c>
      <c r="B4" s="89"/>
      <c r="C4" s="89"/>
      <c r="D4" s="89"/>
      <c r="E4" s="89"/>
      <c r="F4" s="89"/>
      <c r="G4" s="29"/>
      <c r="H4" s="29"/>
      <c r="I4" s="29"/>
      <c r="J4" s="29"/>
    </row>
    <row r="5" spans="1:24" ht="15.75" x14ac:dyDescent="0.25">
      <c r="A5" s="90" t="s">
        <v>7</v>
      </c>
      <c r="B5" s="90"/>
      <c r="C5" s="90"/>
      <c r="D5" s="90"/>
      <c r="E5" s="90"/>
      <c r="F5" s="90"/>
      <c r="G5" s="29"/>
      <c r="H5" s="30"/>
      <c r="I5" s="31"/>
      <c r="J5" s="31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3"/>
      <c r="W5" s="2"/>
      <c r="X5" s="2"/>
    </row>
    <row r="6" spans="1:24" ht="15.75" x14ac:dyDescent="0.25">
      <c r="A6" s="40" t="s">
        <v>13</v>
      </c>
      <c r="B6" s="37" t="str">
        <f>Задание!B6</f>
        <v>11000100</v>
      </c>
      <c r="C6" s="40" t="s">
        <v>11</v>
      </c>
      <c r="D6" s="37" t="str">
        <f>Задание!D6</f>
        <v>305</v>
      </c>
      <c r="E6" s="40" t="s">
        <v>12</v>
      </c>
      <c r="F6" s="37" t="str">
        <f>Задание!F6</f>
        <v>D5</v>
      </c>
      <c r="G6" s="29"/>
      <c r="H6" s="30"/>
      <c r="I6" s="32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x14ac:dyDescent="0.25">
      <c r="A7" s="40" t="s">
        <v>6</v>
      </c>
      <c r="B7" s="37">
        <f>BIN2DEC(B6)</f>
        <v>196</v>
      </c>
      <c r="C7" s="40" t="s">
        <v>6</v>
      </c>
      <c r="D7" s="37">
        <f>OCT2DEC(D6)</f>
        <v>197</v>
      </c>
      <c r="E7" s="40" t="s">
        <v>6</v>
      </c>
      <c r="F7" s="37">
        <f>HEX2DEC(F6)</f>
        <v>213</v>
      </c>
      <c r="G7" s="29"/>
      <c r="H7" s="30"/>
      <c r="I7" s="31"/>
      <c r="J7" s="3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x14ac:dyDescent="0.25">
      <c r="A8" s="84" t="s">
        <v>8</v>
      </c>
      <c r="B8" s="84"/>
      <c r="C8" s="84"/>
      <c r="D8" s="84"/>
      <c r="E8" s="84"/>
      <c r="F8" s="84"/>
      <c r="G8" s="29"/>
      <c r="H8" s="30"/>
      <c r="I8" s="32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x14ac:dyDescent="0.25">
      <c r="A9" s="40" t="s">
        <v>14</v>
      </c>
      <c r="B9" s="47">
        <f>Задание!B9</f>
        <v>79</v>
      </c>
      <c r="C9" s="40" t="s">
        <v>14</v>
      </c>
      <c r="D9" s="37">
        <f>Задание!D9</f>
        <v>225</v>
      </c>
      <c r="E9" s="40" t="s">
        <v>14</v>
      </c>
      <c r="F9" s="37">
        <f>Задание!F9</f>
        <v>485</v>
      </c>
      <c r="G9" s="29"/>
      <c r="H9" s="30"/>
      <c r="I9" s="31"/>
      <c r="J9" s="3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x14ac:dyDescent="0.25">
      <c r="A10" s="40" t="s">
        <v>6</v>
      </c>
      <c r="B10" s="37" t="str">
        <f>DEC2BIN(B9)</f>
        <v>1001111</v>
      </c>
      <c r="C10" s="40" t="s">
        <v>6</v>
      </c>
      <c r="D10" s="37" t="str">
        <f>DEC2BIN(D9)</f>
        <v>11100001</v>
      </c>
      <c r="E10" s="40" t="s">
        <v>6</v>
      </c>
      <c r="F10" s="37" t="str">
        <f>DEC2BIN(F9)</f>
        <v>111100101</v>
      </c>
      <c r="G10" s="29"/>
      <c r="H10" s="30"/>
      <c r="I10" s="32"/>
      <c r="J10" s="3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x14ac:dyDescent="0.25">
      <c r="A11" s="84" t="s">
        <v>9</v>
      </c>
      <c r="B11" s="84"/>
      <c r="C11" s="84"/>
      <c r="D11" s="84"/>
      <c r="E11" s="84"/>
      <c r="F11" s="84"/>
      <c r="G11" s="29"/>
      <c r="H11" s="30"/>
      <c r="I11" s="31"/>
      <c r="J11" s="3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x14ac:dyDescent="0.25">
      <c r="A12" s="40" t="s">
        <v>14</v>
      </c>
      <c r="B12" s="38">
        <f>Задание!B12</f>
        <v>81</v>
      </c>
      <c r="C12" s="40" t="s">
        <v>14</v>
      </c>
      <c r="D12" s="37">
        <f>Задание!D12</f>
        <v>111</v>
      </c>
      <c r="E12" s="40" t="s">
        <v>14</v>
      </c>
      <c r="F12" s="37">
        <f>Задание!F12</f>
        <v>2012</v>
      </c>
      <c r="G12" s="29"/>
      <c r="H12" s="30"/>
      <c r="I12" s="32"/>
      <c r="J12" s="3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x14ac:dyDescent="0.25">
      <c r="A13" s="40" t="s">
        <v>6</v>
      </c>
      <c r="B13" s="37" t="str">
        <f>DEC2OCT(B12)</f>
        <v>121</v>
      </c>
      <c r="C13" s="40" t="s">
        <v>6</v>
      </c>
      <c r="D13" s="37" t="str">
        <f>DEC2OCT(D12)</f>
        <v>157</v>
      </c>
      <c r="E13" s="40" t="s">
        <v>6</v>
      </c>
      <c r="F13" s="37" t="str">
        <f>DEC2OCT(F12)</f>
        <v>3734</v>
      </c>
      <c r="G13" s="29"/>
      <c r="H13" s="30"/>
      <c r="I13" s="31"/>
      <c r="J13" s="3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x14ac:dyDescent="0.25">
      <c r="A14" s="84" t="s">
        <v>10</v>
      </c>
      <c r="B14" s="84"/>
      <c r="C14" s="84"/>
      <c r="D14" s="84"/>
      <c r="E14" s="84"/>
      <c r="F14" s="84"/>
      <c r="G14" s="29"/>
      <c r="H14" s="30"/>
      <c r="I14" s="32"/>
      <c r="J14" s="3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x14ac:dyDescent="0.25">
      <c r="A15" s="40" t="s">
        <v>14</v>
      </c>
      <c r="B15" s="38">
        <f>Задание!B15</f>
        <v>46</v>
      </c>
      <c r="C15" s="40" t="s">
        <v>14</v>
      </c>
      <c r="D15" s="37">
        <f>Задание!D15</f>
        <v>214</v>
      </c>
      <c r="E15" s="40" t="s">
        <v>14</v>
      </c>
      <c r="F15" s="37">
        <f>Задание!F15</f>
        <v>2020</v>
      </c>
      <c r="G15" s="29"/>
      <c r="H15" s="30"/>
      <c r="I15" s="31"/>
      <c r="J15" s="3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x14ac:dyDescent="0.25">
      <c r="A16" s="40" t="s">
        <v>6</v>
      </c>
      <c r="B16" s="37" t="str">
        <f>DEC2HEX(B15)</f>
        <v>2E</v>
      </c>
      <c r="C16" s="40" t="s">
        <v>6</v>
      </c>
      <c r="D16" s="37" t="str">
        <f>DEC2HEX(D15)</f>
        <v>D6</v>
      </c>
      <c r="E16" s="40" t="s">
        <v>6</v>
      </c>
      <c r="F16" s="37" t="str">
        <f>DEC2HEX(F15)</f>
        <v>7E4</v>
      </c>
      <c r="G16" s="29"/>
      <c r="H16" s="30"/>
      <c r="I16" s="32"/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10" ht="15.75" x14ac:dyDescent="0.25">
      <c r="A17" s="84" t="str">
        <f>CONCATENATE("5. Определить информационный объем текста [студент НВГУ группы №",D3," ",C2,"] в байтах")</f>
        <v>5. Определить информационный объем текста [студент НВГУ группы №1111 Ботников Максим] в байтах</v>
      </c>
      <c r="B17" s="84"/>
      <c r="C17" s="84"/>
      <c r="D17" s="84"/>
      <c r="E17" s="84"/>
      <c r="F17" s="84"/>
      <c r="G17" s="26">
        <f>LEN(CONCATENATE("студент НВГУ группы №",Задание!D3," ",C2))</f>
        <v>41</v>
      </c>
      <c r="H17" s="27"/>
      <c r="I17" s="26"/>
      <c r="J17" s="26"/>
    </row>
    <row r="18" spans="1:10" ht="15.75" x14ac:dyDescent="0.25">
      <c r="A18" s="86" t="s">
        <v>17</v>
      </c>
      <c r="B18" s="86"/>
      <c r="C18" s="37">
        <f>G17</f>
        <v>41</v>
      </c>
      <c r="D18" s="86" t="s">
        <v>18</v>
      </c>
      <c r="E18" s="86"/>
      <c r="F18" s="37">
        <f>G17*2</f>
        <v>82</v>
      </c>
      <c r="G18" s="26"/>
      <c r="H18" s="27"/>
      <c r="I18" s="26"/>
      <c r="J18" s="26"/>
    </row>
    <row r="19" spans="1:10" ht="15.75" x14ac:dyDescent="0.25">
      <c r="A19" s="91" t="s">
        <v>19</v>
      </c>
      <c r="B19" s="91"/>
      <c r="C19" s="37" t="str">
        <f>Задание!C19</f>
        <v>2 Кб</v>
      </c>
      <c r="D19" s="37" t="str">
        <f>Задание!D19</f>
        <v>1128 бит</v>
      </c>
      <c r="E19" s="37" t="str">
        <f>Задание!E19</f>
        <v>2024 байт</v>
      </c>
      <c r="F19" s="37" t="str">
        <f>Задание!F19</f>
        <v>2^10 байт</v>
      </c>
      <c r="G19" s="26">
        <v>2048</v>
      </c>
      <c r="H19" s="27">
        <f>ROUND(F3/10,0)/8</f>
        <v>0.25</v>
      </c>
      <c r="I19" s="26">
        <f>YEAR(B3)</f>
        <v>2007</v>
      </c>
      <c r="J19" s="26">
        <v>1024</v>
      </c>
    </row>
    <row r="20" spans="1:10" ht="15.75" x14ac:dyDescent="0.25">
      <c r="A20" s="91"/>
      <c r="B20" s="91"/>
      <c r="C20" s="37" t="str">
        <f>CHOOSE(G21,$C$19,$D$19,$E$19,$F$19)</f>
        <v>1128 бит</v>
      </c>
      <c r="D20" s="37" t="str">
        <f>CHOOSE(H21,$C$19,$D$19,$E$19,$F$19)</f>
        <v>2^10 байт</v>
      </c>
      <c r="E20" s="37" t="str">
        <f>CHOOSE(I21,$C$19,$D$19,$E$19,$F$19)</f>
        <v>2024 байт</v>
      </c>
      <c r="F20" s="37" t="str">
        <f>CHOOSE(J21,$C$19,$D$19,$E$19,$F$19)</f>
        <v>2 Кб</v>
      </c>
      <c r="G20" s="26">
        <f>SMALL($G$19:$J$19,1)</f>
        <v>0.25</v>
      </c>
      <c r="H20" s="26">
        <f>SMALL($G$19:$J$19,2)</f>
        <v>1024</v>
      </c>
      <c r="I20" s="26">
        <f>SMALL($G$19:$J$19,3)</f>
        <v>2007</v>
      </c>
      <c r="J20" s="26">
        <f>SMALL($G$19:$J$19,4)</f>
        <v>2048</v>
      </c>
    </row>
    <row r="21" spans="1:10" ht="15.75" x14ac:dyDescent="0.25">
      <c r="A21" s="84" t="s">
        <v>27</v>
      </c>
      <c r="B21" s="84"/>
      <c r="C21" s="84"/>
      <c r="D21" s="84"/>
      <c r="E21" s="84"/>
      <c r="F21" s="84"/>
      <c r="G21" s="26">
        <f>MATCH(G20,$G$19:$J$19,0)</f>
        <v>2</v>
      </c>
      <c r="H21" s="26">
        <f>MATCH(H20,$G$19:$J$19,0)</f>
        <v>4</v>
      </c>
      <c r="I21" s="26">
        <f>MATCH(I20,$G$19:$J$19,0)</f>
        <v>3</v>
      </c>
      <c r="J21" s="26">
        <f>MATCH(J20,$G$19:$J$19,0)</f>
        <v>1</v>
      </c>
    </row>
    <row r="22" spans="1:10" ht="30.6" customHeight="1" x14ac:dyDescent="0.25">
      <c r="A22" s="94" t="str">
        <f>C2</f>
        <v>Ботников Максим</v>
      </c>
      <c r="B22" s="94"/>
      <c r="C22" s="95" t="str">
        <f>CONCATENATE(CODE(C2),IF(ISERROR(CODE(MID(C2,2,1))),"",CODE(MID(C2,2,1))),IF(ISERROR(CODE(MID(C2,3,1))),"",CODE(MID(C2,3,1))),IF(ISERROR(CODE(MID(C2,4,1))),"",CODE(MID(C2,4,1))),IF(ISERROR(CODE(MID(C2,5,1))),"",CODE(MID(C2,5,1))),IF(ISERROR(CODE(MID(C2,6,1))),"",CODE(MID(C2,6,1))),IF(ISERROR(CODE(MID(C2,7,1))),"",CODE(MID(C2,7,1))),IF(ISERROR(CODE(MID(C2,8,1))),"",CODE(MID(C2,8,1))),IF(ISERROR(CODE(MID(C2,9,1))),"",CODE(MID(C2,9,1))),IF(ISERROR(CODE(MID(C2,10,1))),"",CODE(MID(C2,10,1))),IF(ISERROR(CODE(MID(C2,11,1))),"",CODE(MID(C2,11,1))),IF(ISERROR(CODE(MID(C2,12,1))),"",CODE(MID(C2,12,1))),IF(ISERROR(CODE(MID(C2,13,1))),"",CODE(MID(C2,13,1))),IF(ISERROR(CODE(MID(C2,14,1))),"",CODE(MID(C2,14,1))),IF(ISERROR(CODE(MID(C2,15,1))),"",CODE(MID(C2,15,1))),IF(ISERROR(CODE(MID(C2,16,1))),"",CODE(MID(C2,16,1))),IF(ISERROR(CODE(MID(C2,17,1))),"",CODE(MID(C2,17,1))),IF(ISERROR(CODE(MID(C2,18,1))),"",CODE(MID(C2,18,1))),IF(ISERROR(CODE(MID(C2,19,1))),"",CODE(MID(C2,19,1))),IF(ISERROR(CODE(MID(C2,20,1))),"",CODE(MID(C2,20,1))),IF(ISERROR(CODE(MID(C2,21,1))),"",CODE(MID(C2,21,1))),IF(ISERROR(CODE(MID(C2,22,1))),"",CODE(MID(C2,22,1))),IF(ISERROR(CODE(MID(C2,23,1))),"",CODE(MID(C2,23,1))),IF(ISERROR(CODE(MID(C2,24,1))),"",CODE(MID(C2,24,1))),IF(ISERROR(CODE(MID(C2,25,1))),"",CODE(MID(C2,25,1))),IF(ISERROR(CODE(MID(C2,26,1))),"",CODE(MID(C2,26,1))),IF(ISERROR(CODE(MID(C2,27,1))),"",CODE(MID(C2,27,1))),IF(ISERROR(CODE(MID(C2,28,1))),"",CODE(MID(C2,28,1))),IF(ISERROR(CODE(MID(C2,29,1))),"",CODE(MID(C2,29,1))),IF(ISERROR(CODE(MID(C2,30,1))),"",CODE(MID(C2,30,1))))</f>
        <v>19323824223723223423822632204224234241232236</v>
      </c>
      <c r="D22" s="95"/>
      <c r="E22" s="95"/>
      <c r="F22" s="95"/>
      <c r="G22" s="29"/>
      <c r="H22" s="29"/>
      <c r="I22" s="29"/>
      <c r="J22" s="29"/>
    </row>
    <row r="23" spans="1:10" ht="15.75" x14ac:dyDescent="0.25">
      <c r="A23" s="84" t="s">
        <v>28</v>
      </c>
      <c r="B23" s="84"/>
      <c r="C23" s="84"/>
      <c r="D23" s="84"/>
      <c r="E23" s="84"/>
      <c r="F23" s="84"/>
      <c r="G23" s="29"/>
      <c r="H23" s="29"/>
      <c r="I23" s="29"/>
      <c r="J23" s="29"/>
    </row>
    <row r="24" spans="1:10" x14ac:dyDescent="0.25">
      <c r="A24" s="92" t="str">
        <f>VLOOKUP($D$36,$E$36:$J$39,2)</f>
        <v>238242235232247237238</v>
      </c>
      <c r="B24" s="92"/>
      <c r="C24" s="92"/>
      <c r="D24" s="93"/>
      <c r="E24" s="93"/>
      <c r="F24" s="93"/>
      <c r="G24" s="29"/>
      <c r="H24" s="29"/>
      <c r="I24" s="29"/>
      <c r="J24" s="29"/>
    </row>
    <row r="25" spans="1:10" x14ac:dyDescent="0.25">
      <c r="A25" s="26"/>
      <c r="B25" s="26"/>
      <c r="C25" s="26"/>
      <c r="D25" s="26"/>
      <c r="E25" s="26"/>
      <c r="F25" s="26"/>
      <c r="G25" s="29"/>
      <c r="H25" s="29"/>
      <c r="I25" s="29"/>
      <c r="J25" s="29"/>
    </row>
    <row r="26" spans="1:10" x14ac:dyDescent="0.25">
      <c r="A26" s="26"/>
      <c r="B26" s="42">
        <v>1</v>
      </c>
      <c r="C26" s="42">
        <v>2</v>
      </c>
      <c r="D26" s="42">
        <v>3</v>
      </c>
      <c r="E26" s="26"/>
      <c r="F26" s="26"/>
      <c r="G26" s="29"/>
      <c r="H26" s="29"/>
      <c r="I26" s="29"/>
      <c r="J26" s="29"/>
    </row>
    <row r="27" spans="1:10" x14ac:dyDescent="0.25">
      <c r="A27" s="42">
        <v>1</v>
      </c>
      <c r="B27" s="26">
        <f>IF(B7=Задание!B7,1,0)</f>
        <v>1</v>
      </c>
      <c r="C27" s="26">
        <f>IF(D7=Задание!D7,1,0)</f>
        <v>1</v>
      </c>
      <c r="D27" s="26">
        <f>IF(F7=Задание!F7,1,0)</f>
        <v>1</v>
      </c>
      <c r="E27" s="26"/>
      <c r="F27" s="26"/>
      <c r="G27" s="29"/>
      <c r="H27" s="29"/>
      <c r="I27" s="29"/>
      <c r="J27" s="29"/>
    </row>
    <row r="28" spans="1:10" x14ac:dyDescent="0.25">
      <c r="A28" s="42">
        <v>2</v>
      </c>
      <c r="B28" s="26">
        <f>IF(EXACT(TEXT(B10,0),TEXT(Задание!B10,0)),1,0)</f>
        <v>1</v>
      </c>
      <c r="C28" s="26">
        <f>IF(EXACT(TEXT(D10,0),TEXT(Задание!D10,0)),1,0)</f>
        <v>1</v>
      </c>
      <c r="D28" s="26">
        <f>IF(EXACT(TEXT(F10,0),TEXT(Задание!F10,0)),1,0)</f>
        <v>1</v>
      </c>
      <c r="E28" s="26"/>
      <c r="F28" s="26"/>
      <c r="G28" s="29"/>
      <c r="H28" s="29"/>
      <c r="I28" s="29"/>
      <c r="J28" s="29"/>
    </row>
    <row r="29" spans="1:10" x14ac:dyDescent="0.25">
      <c r="A29" s="42">
        <v>3</v>
      </c>
      <c r="B29" s="26">
        <f>IF(EXACT(TEXT(B13,0),TEXT(Задание!B13,0)),1,0)</f>
        <v>1</v>
      </c>
      <c r="C29" s="26">
        <f>IF(EXACT(TEXT(D13,0),TEXT(Задание!D13,0)),1,0)</f>
        <v>1</v>
      </c>
      <c r="D29" s="26">
        <f>IF(EXACT(TEXT(F13,0),TEXT(Задание!F13,0)),1,0)</f>
        <v>1</v>
      </c>
      <c r="E29" s="26"/>
      <c r="F29" s="26"/>
      <c r="G29" s="29"/>
      <c r="H29" s="29"/>
      <c r="I29" s="29"/>
      <c r="J29" s="29"/>
    </row>
    <row r="30" spans="1:10" x14ac:dyDescent="0.25">
      <c r="A30" s="42">
        <v>4</v>
      </c>
      <c r="B30" s="26">
        <f>IF(EXACT(TEXT(B16,0),TEXT(Задание!B16,0)),1,0)</f>
        <v>1</v>
      </c>
      <c r="C30" s="26">
        <f>IF(EXACT(TEXT(D16,0),TEXT(Задание!D16,0)),1,0)</f>
        <v>1</v>
      </c>
      <c r="D30" s="26">
        <f>IF(EXACT(TEXT(F16,0),TEXT(Задание!F16,0)),1,0)</f>
        <v>0</v>
      </c>
      <c r="E30" s="26"/>
      <c r="F30" s="26"/>
      <c r="G30" s="29"/>
      <c r="H30" s="29"/>
      <c r="I30" s="29"/>
      <c r="J30" s="29"/>
    </row>
    <row r="31" spans="1:10" x14ac:dyDescent="0.25">
      <c r="A31" s="42">
        <v>5</v>
      </c>
      <c r="B31" s="26">
        <f>IF(C18=Задание!C18,1,0)</f>
        <v>1</v>
      </c>
      <c r="C31" s="26"/>
      <c r="D31" s="26">
        <f>IF(F18=Задание!F18,1,0)</f>
        <v>1</v>
      </c>
      <c r="E31" s="26"/>
      <c r="F31" s="26"/>
      <c r="G31" s="29"/>
      <c r="H31" s="29"/>
      <c r="I31" s="29"/>
      <c r="J31" s="29"/>
    </row>
    <row r="32" spans="1:10" x14ac:dyDescent="0.25">
      <c r="A32" s="42">
        <v>6</v>
      </c>
      <c r="B32" s="26">
        <f>IF(AND(Ключ!C20=Задание!C20,Задание!D20=Ключ!D20,Ключ!E20=Задание!E20,Задание!F20=Ключ!F20),1,0)</f>
        <v>1</v>
      </c>
      <c r="C32" s="26"/>
      <c r="D32" s="26"/>
      <c r="E32" s="26"/>
      <c r="F32" s="26"/>
      <c r="G32" s="29"/>
      <c r="H32" s="29"/>
      <c r="I32" s="29"/>
      <c r="J32" s="29"/>
    </row>
    <row r="33" spans="1:10" x14ac:dyDescent="0.25">
      <c r="A33" s="42">
        <v>7</v>
      </c>
      <c r="B33" s="26">
        <f>IF(EXACT(TEXT(C22,0),TEXT(Задание!C22,0)),1,0)</f>
        <v>1</v>
      </c>
      <c r="C33" s="26"/>
      <c r="D33" s="26"/>
      <c r="E33" s="26"/>
      <c r="F33" s="26"/>
      <c r="G33" s="29"/>
      <c r="H33" s="29"/>
      <c r="I33" s="29"/>
      <c r="J33" s="29"/>
    </row>
    <row r="34" spans="1:10" x14ac:dyDescent="0.25">
      <c r="A34" s="42">
        <v>8</v>
      </c>
      <c r="B34" s="26"/>
      <c r="C34" s="26"/>
      <c r="D34" s="26"/>
      <c r="E34" s="26"/>
      <c r="F34" s="26"/>
      <c r="G34" s="29"/>
      <c r="H34" s="29"/>
      <c r="I34" s="29"/>
      <c r="J34" s="29"/>
    </row>
    <row r="35" spans="1:10" x14ac:dyDescent="0.25">
      <c r="A35" s="26"/>
      <c r="B35" s="26"/>
      <c r="C35" s="26"/>
      <c r="D35" s="26"/>
      <c r="E35" s="26"/>
      <c r="F35" s="26"/>
      <c r="G35" s="29"/>
      <c r="H35" s="29"/>
      <c r="I35" s="29"/>
      <c r="J35" s="29"/>
    </row>
    <row r="36" spans="1:10" x14ac:dyDescent="0.25">
      <c r="A36" s="39" t="s">
        <v>31</v>
      </c>
      <c r="B36" s="26">
        <f>SUM(B27:D32)</f>
        <v>14</v>
      </c>
      <c r="C36" s="39" t="s">
        <v>24</v>
      </c>
      <c r="D36" s="26" t="str">
        <f>IF(B36&gt;=14,"отлично",IF(B36&gt;=11,"хорошо",IF(B36&gt;=8,"сойдет","плохо")))</f>
        <v>отлично</v>
      </c>
      <c r="E36" s="26" t="s">
        <v>25</v>
      </c>
      <c r="F36" s="28" t="str">
        <f>CONCATENATE(CODE(E36),CODE(MID(E36,2,1)),CODE(MID(E36,3,1)),CODE(MID(E36,4,1)),CODE(MID(E36,5,1)),CODE(MID(E36,6,1)),CODE(MID(E36,7,1)))</f>
        <v>238242235232247237238</v>
      </c>
      <c r="G36" s="33"/>
      <c r="H36" s="33"/>
      <c r="I36" s="33"/>
      <c r="J36" s="33"/>
    </row>
    <row r="37" spans="1:10" x14ac:dyDescent="0.25">
      <c r="A37" s="26"/>
      <c r="B37" s="26"/>
      <c r="C37" s="26"/>
      <c r="D37" s="26"/>
      <c r="E37" s="26" t="s">
        <v>29</v>
      </c>
      <c r="F37" s="28" t="str">
        <f>CONCATENATE(CODE(E37),CODE(MID(E37,2,1)),CODE(MID(E37,3,1)),CODE(MID(E37,4,1)),CODE(MID(E37,5,1)))</f>
        <v>239235238245238</v>
      </c>
      <c r="G37" s="33"/>
      <c r="H37" s="33"/>
      <c r="I37" s="33"/>
      <c r="J37" s="33"/>
    </row>
    <row r="38" spans="1:10" x14ac:dyDescent="0.25">
      <c r="A38" s="26"/>
      <c r="B38" s="26"/>
      <c r="C38" s="26"/>
      <c r="D38" s="26"/>
      <c r="E38" s="26" t="s">
        <v>30</v>
      </c>
      <c r="F38" s="28" t="str">
        <f>CONCATENATE(CODE(E38),CODE(MID(E38,2,1)),CODE(MID(E38,3,1)),CODE(MID(E38,4,1)),CODE(MID(E38,5,1)),CODE(MID(E38,6,1)))</f>
        <v>241238233228229242</v>
      </c>
      <c r="G38" s="33"/>
      <c r="H38" s="33"/>
      <c r="I38" s="33"/>
      <c r="J38" s="33"/>
    </row>
    <row r="39" spans="1:10" x14ac:dyDescent="0.25">
      <c r="A39" s="26"/>
      <c r="B39" s="26"/>
      <c r="C39" s="26"/>
      <c r="D39" s="26"/>
      <c r="E39" s="26" t="s">
        <v>26</v>
      </c>
      <c r="F39" s="28" t="str">
        <f>CONCATENATE(CODE(E39),CODE(MID(E39,2,1)),CODE(MID(E39,3,1)),CODE(MID(E39,4,1)),CODE(MID(E39,5,1)),CODE(MID(E39,6,1)))</f>
        <v>245238240238248238</v>
      </c>
      <c r="G39" s="33"/>
      <c r="H39" s="33"/>
      <c r="I39" s="33"/>
      <c r="J39" s="33"/>
    </row>
    <row r="40" spans="1:10" x14ac:dyDescent="0.25">
      <c r="A40" s="26"/>
      <c r="B40" s="26"/>
      <c r="C40" s="26"/>
      <c r="D40" s="26"/>
      <c r="E40" s="26"/>
      <c r="F40" s="26"/>
      <c r="G40" s="29"/>
      <c r="H40" s="29"/>
      <c r="I40" s="29"/>
      <c r="J40" s="29"/>
    </row>
    <row r="41" spans="1:1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</row>
    <row r="42" spans="1:1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</row>
    <row r="43" spans="1:1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</row>
    <row r="44" spans="1:1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</row>
    <row r="45" spans="1:10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</row>
    <row r="46" spans="1:1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</row>
    <row r="47" spans="1:10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</row>
    <row r="48" spans="1:1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</row>
    <row r="49" spans="1:10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</row>
    <row r="50" spans="1:1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</row>
    <row r="51" spans="1:10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</row>
    <row r="52" spans="1:10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</row>
    <row r="53" spans="1:10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</row>
    <row r="54" spans="1:10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</row>
    <row r="55" spans="1:10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</row>
    <row r="56" spans="1:10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spans="1:10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</row>
    <row r="58" spans="1:10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spans="1:10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</row>
    <row r="60" spans="1:10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spans="1:10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</row>
    <row r="62" spans="1:10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spans="1:10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</row>
    <row r="64" spans="1:10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spans="1:10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</row>
    <row r="66" spans="1:10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</row>
    <row r="67" spans="1:10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</row>
    <row r="68" spans="1:10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</row>
  </sheetData>
  <sheetProtection algorithmName="SHA-512" hashValue="9g8+QfXEUKYURROg9zWDzRcAnTPwZJtNSVaCobJjyxhyXi0xEVvqOKNJM/EoHFhHmD/bdERV0dqsFqGI3TCL3A==" saltValue="No1Lkq3vO/UaGyfdxZfyPw==" spinCount="100000" sheet="1" objects="1" scenarios="1" selectLockedCells="1"/>
  <sortState ref="E36:F39">
    <sortCondition ref="E36:E39"/>
  </sortState>
  <mergeCells count="18">
    <mergeCell ref="A19:B20"/>
    <mergeCell ref="A24:C24"/>
    <mergeCell ref="D24:F24"/>
    <mergeCell ref="A21:F21"/>
    <mergeCell ref="A22:B22"/>
    <mergeCell ref="C22:F22"/>
    <mergeCell ref="A23:F23"/>
    <mergeCell ref="A11:F11"/>
    <mergeCell ref="A14:F14"/>
    <mergeCell ref="A17:F17"/>
    <mergeCell ref="A18:B18"/>
    <mergeCell ref="D18:E18"/>
    <mergeCell ref="A8:F8"/>
    <mergeCell ref="A1:D1"/>
    <mergeCell ref="A2:B2"/>
    <mergeCell ref="C2:F2"/>
    <mergeCell ref="A4:F4"/>
    <mergeCell ref="A5:F5"/>
  </mergeCells>
  <dataValidations count="1">
    <dataValidation type="whole" errorStyle="warning" allowBlank="1" showInputMessage="1" showErrorMessage="1" error="Только число!" sqref="D3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</vt:lpstr>
      <vt:lpstr>Ключ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2015-09-14T10:29:32Z</dcterms:created>
  <dcterms:modified xsi:type="dcterms:W3CDTF">2025-10-10T06:12:20Z</dcterms:modified>
</cp:coreProperties>
</file>