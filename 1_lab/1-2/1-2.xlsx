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5456" windowHeight="9696"/>
  </bookViews>
  <sheets>
    <sheet name="Задание" sheetId="1" r:id="rId1"/>
    <sheet name="Ключ" sheetId="3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8" i="3" s="1"/>
  <c r="F3" i="3"/>
  <c r="D23" i="3" s="1"/>
  <c r="D3" i="3"/>
  <c r="B3" i="3"/>
  <c r="B15" i="1"/>
  <c r="B15" i="3" s="1"/>
  <c r="C2" i="3"/>
  <c r="A26" i="3" s="1"/>
  <c r="D19" i="1"/>
  <c r="D19" i="3" s="1"/>
  <c r="F19" i="1"/>
  <c r="F19" i="3" s="1"/>
  <c r="B19" i="1"/>
  <c r="B19" i="3" s="1"/>
  <c r="B20" i="3" s="1"/>
  <c r="F1" i="1"/>
  <c r="D18" i="1" s="1"/>
  <c r="D18" i="3" s="1"/>
  <c r="A28" i="3"/>
  <c r="E23" i="3"/>
  <c r="F18" i="1"/>
  <c r="F18" i="3" s="1"/>
  <c r="F15" i="1"/>
  <c r="F15" i="3" s="1"/>
  <c r="F14" i="1"/>
  <c r="F14" i="3" s="1"/>
  <c r="D15" i="1"/>
  <c r="D15" i="3" s="1"/>
  <c r="D14" i="1"/>
  <c r="D14" i="3" s="1"/>
  <c r="B14" i="1"/>
  <c r="B14" i="3" s="1"/>
  <c r="A21" i="3" l="1"/>
  <c r="D16" i="3"/>
  <c r="F16" i="3"/>
  <c r="F20" i="3"/>
  <c r="D20" i="3"/>
  <c r="B16" i="3"/>
  <c r="F1" i="3"/>
  <c r="D7" i="1"/>
  <c r="D7" i="3" s="1"/>
  <c r="B11" i="1"/>
  <c r="B11" i="3" s="1"/>
  <c r="D6" i="1"/>
  <c r="D6" i="3" s="1"/>
  <c r="D11" i="1"/>
  <c r="D11" i="3" s="1"/>
  <c r="B7" i="1"/>
  <c r="B7" i="3" s="1"/>
  <c r="F7" i="1"/>
  <c r="F7" i="3" s="1"/>
  <c r="B10" i="1"/>
  <c r="B10" i="3" s="1"/>
  <c r="D10" i="1"/>
  <c r="D10" i="3" s="1"/>
  <c r="D12" i="3" s="1"/>
  <c r="F11" i="1"/>
  <c r="F11" i="3" s="1"/>
  <c r="F10" i="1"/>
  <c r="F10" i="3" s="1"/>
  <c r="F12" i="3" l="1"/>
  <c r="D8" i="3"/>
  <c r="B12" i="3"/>
  <c r="A21" i="1"/>
  <c r="E23" i="1"/>
  <c r="A26" i="1"/>
  <c r="D23" i="1" l="1"/>
  <c r="F6" i="1"/>
  <c r="F6" i="3" s="1"/>
  <c r="F8" i="3" s="1"/>
  <c r="B6" i="1"/>
  <c r="B6" i="3" s="1"/>
  <c r="B8" i="3" s="1"/>
  <c r="A28" i="1" l="1"/>
</calcChain>
</file>

<file path=xl/comments1.xml><?xml version="1.0" encoding="utf-8"?>
<comments xmlns="http://schemas.openxmlformats.org/spreadsheetml/2006/main">
  <authors>
    <author>Admin</author>
    <author>note</author>
  </authors>
  <commentList>
    <comment ref="C2" authorId="0" shapeId="0">
      <text>
        <r>
          <rPr>
            <b/>
            <sz val="8"/>
            <color indexed="81"/>
            <rFont val="Tahoma"/>
            <family val="2"/>
            <charset val="204"/>
          </rPr>
          <t>Не более 30 символов!</t>
        </r>
      </text>
    </comment>
    <comment ref="D3" authorId="1" shapeId="0">
      <text>
        <r>
          <rPr>
            <b/>
            <sz val="8"/>
            <color indexed="81"/>
            <rFont val="Tahoma"/>
            <family val="2"/>
            <charset val="204"/>
          </rPr>
          <t>Последние две цифры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F23" authorId="1" shapeId="0">
      <text>
        <r>
          <rPr>
            <b/>
            <sz val="8"/>
            <color indexed="81"/>
            <rFont val="Tahoma"/>
            <family val="2"/>
            <charset val="204"/>
          </rPr>
          <t>в Excel возведение в степень обозначается знаком ^</t>
        </r>
      </text>
    </comment>
    <comment ref="A25" authorId="1" shapeId="0">
      <text>
        <r>
          <rPr>
            <b/>
            <sz val="8"/>
            <color indexed="81"/>
            <rFont val="Tahoma"/>
            <family val="2"/>
            <charset val="204"/>
          </rPr>
          <t>note:</t>
        </r>
        <r>
          <rPr>
            <sz val="8"/>
            <color indexed="81"/>
            <rFont val="Tahoma"/>
            <family val="2"/>
            <charset val="204"/>
          </rPr>
          <t xml:space="preserve">
трехзначные шестнадцатеричные коды можно найти в таблице символов</t>
        </r>
      </text>
    </comment>
    <comment ref="A27" authorId="1" shapeId="0">
      <text>
        <r>
          <rPr>
            <b/>
            <sz val="8"/>
            <color indexed="81"/>
            <rFont val="Tahoma"/>
            <family val="2"/>
            <charset val="204"/>
          </rPr>
          <t>note:</t>
        </r>
        <r>
          <rPr>
            <sz val="8"/>
            <color indexed="81"/>
            <rFont val="Tahoma"/>
            <family val="2"/>
            <charset val="204"/>
          </rPr>
          <t xml:space="preserve">
трехзначные шестнадцатеричные коды можно найти в таблице символов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note</author>
  </authors>
  <commentList>
    <comment ref="C2" authorId="0" shapeId="0">
      <text>
        <r>
          <rPr>
            <b/>
            <sz val="8"/>
            <color indexed="81"/>
            <rFont val="Tahoma"/>
            <family val="2"/>
            <charset val="204"/>
          </rPr>
          <t>Не более 30 символов!</t>
        </r>
      </text>
    </comment>
    <comment ref="F23" authorId="1" shapeId="0">
      <text>
        <r>
          <rPr>
            <b/>
            <sz val="8"/>
            <color indexed="81"/>
            <rFont val="Tahoma"/>
            <family val="2"/>
            <charset val="204"/>
          </rPr>
          <t>в Excel возведение в степень обозначается знаком ^</t>
        </r>
      </text>
    </comment>
    <comment ref="A25" authorId="1" shapeId="0">
      <text>
        <r>
          <rPr>
            <b/>
            <sz val="8"/>
            <color indexed="81"/>
            <rFont val="Tahoma"/>
            <family val="2"/>
            <charset val="204"/>
          </rPr>
          <t>note:</t>
        </r>
        <r>
          <rPr>
            <sz val="8"/>
            <color indexed="81"/>
            <rFont val="Tahoma"/>
            <family val="2"/>
            <charset val="204"/>
          </rPr>
          <t xml:space="preserve">
трехзначные шестнадцатеричные коды можно найти в таблице символов</t>
        </r>
      </text>
    </comment>
    <comment ref="A27" authorId="1" shapeId="0">
      <text>
        <r>
          <rPr>
            <b/>
            <sz val="8"/>
            <color indexed="81"/>
            <rFont val="Tahoma"/>
            <family val="2"/>
            <charset val="204"/>
          </rPr>
          <t>note:</t>
        </r>
        <r>
          <rPr>
            <sz val="8"/>
            <color indexed="81"/>
            <rFont val="Tahoma"/>
            <family val="2"/>
            <charset val="204"/>
          </rPr>
          <t xml:space="preserve">
трехзначные шестнадцатеричные коды можно найти в таблице символов</t>
        </r>
      </text>
    </comment>
  </commentList>
</comments>
</file>

<file path=xl/sharedStrings.xml><?xml version="1.0" encoding="utf-8"?>
<sst xmlns="http://schemas.openxmlformats.org/spreadsheetml/2006/main" count="90" uniqueCount="30">
  <si>
    <t>Фамилия Имя студента</t>
  </si>
  <si>
    <t>№ группы</t>
  </si>
  <si>
    <t>Дата рождения</t>
  </si>
  <si>
    <t>Дата выполнения</t>
  </si>
  <si>
    <t>ответ</t>
  </si>
  <si>
    <t>2^10 байт</t>
  </si>
  <si>
    <t>2 Кб</t>
  </si>
  <si>
    <t>при ASCII-кодировании</t>
  </si>
  <si>
    <t>при Unicode-кодировании</t>
  </si>
  <si>
    <t>7. Закодируйте свои фамилию и имя в кодировке Windows 1251 (Кириллица)</t>
  </si>
  <si>
    <r>
      <t xml:space="preserve">Развернутое решение запишите в тетрадь, ответ введите в соответствующую ячейку. 
</t>
    </r>
    <r>
      <rPr>
        <b/>
        <sz val="12"/>
        <color rgb="FFC00000"/>
        <rFont val="Times New Roman"/>
        <family val="1"/>
        <charset val="204"/>
      </rPr>
      <t>Без решения в тетради результаты лабораторной не засчитываются!</t>
    </r>
  </si>
  <si>
    <t>8. Раскодируйте фразу из кодировки Windows 1251 (Кириллица)</t>
  </si>
  <si>
    <t xml:space="preserve">6. Расставьте величины в порядке возрастания: </t>
  </si>
  <si>
    <r>
      <t xml:space="preserve">Развернутое решение запишите в тетрадь, ответ введите в соответствующую ячейку. 
</t>
    </r>
    <r>
      <rPr>
        <b/>
        <sz val="12"/>
        <color theme="0"/>
        <rFont val="Times New Roman"/>
        <family val="1"/>
        <charset val="204"/>
      </rPr>
      <t>Без решения в тетради результаты лабораторной не засчитываются!</t>
    </r>
  </si>
  <si>
    <t>1.Выполните операцию  сложения</t>
  </si>
  <si>
    <t>2. Выполните операцию  вычитания</t>
  </si>
  <si>
    <t>3. Выполните операцию умножения</t>
  </si>
  <si>
    <t>4. Выполните  операцию  деления</t>
  </si>
  <si>
    <t>в 2-ичной системе</t>
  </si>
  <si>
    <t>в 8-ричной системе</t>
  </si>
  <si>
    <t>в 16-ричной системе</t>
  </si>
  <si>
    <t>Лабораторная работа № 1.1</t>
  </si>
  <si>
    <t>№ варианта</t>
  </si>
  <si>
    <t>Проверочная работа № 3</t>
  </si>
  <si>
    <t>Ботников Максим</t>
  </si>
  <si>
    <t>1С8</t>
  </si>
  <si>
    <t>1FE54</t>
  </si>
  <si>
    <t>1100010.11001</t>
  </si>
  <si>
    <t>35.2</t>
  </si>
  <si>
    <t>9D.95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</si>
</sst>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8"/>
      <color theme="1"/>
      <name val="Arial Black"/>
      <family val="2"/>
      <charset val="204"/>
    </font>
    <font>
      <sz val="8"/>
      <color indexed="81"/>
      <name val="Tahoma"/>
      <family val="2"/>
      <charset val="204"/>
    </font>
    <font>
      <b/>
      <sz val="8"/>
      <color indexed="81"/>
      <name val="Tahoma"/>
      <family val="2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sz val="11"/>
      <color theme="1"/>
      <name val="Comic Sans MS"/>
      <family val="4"/>
      <charset val="204"/>
    </font>
    <font>
      <sz val="12"/>
      <color theme="1"/>
      <name val="Comic Sans MS"/>
      <family val="4"/>
      <charset val="204"/>
    </font>
    <font>
      <i/>
      <sz val="12"/>
      <color theme="1"/>
      <name val="Times New Roman"/>
      <family val="1"/>
      <charset val="204"/>
    </font>
    <font>
      <sz val="18"/>
      <color theme="0"/>
      <name val="Arial Black"/>
      <family val="2"/>
      <charset val="204"/>
    </font>
    <font>
      <sz val="11"/>
      <color theme="0"/>
      <name val="Times New Roman"/>
      <family val="1"/>
      <charset val="204"/>
    </font>
    <font>
      <sz val="11"/>
      <color theme="0"/>
      <name val="Comic Sans MS"/>
      <family val="4"/>
      <charset val="204"/>
    </font>
    <font>
      <sz val="12"/>
      <color theme="0"/>
      <name val="Times New Roman"/>
      <family val="1"/>
      <charset val="204"/>
    </font>
    <font>
      <sz val="12"/>
      <color theme="0"/>
      <name val="Comic Sans MS"/>
      <family val="4"/>
      <charset val="204"/>
    </font>
    <font>
      <b/>
      <sz val="12"/>
      <color theme="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theme="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/>
    <xf numFmtId="0" fontId="4" fillId="0" borderId="3" xfId="0" applyFont="1" applyBorder="1" applyAlignment="1" applyProtection="1">
      <alignment horizontal="right" vertical="center"/>
      <protection hidden="1"/>
    </xf>
    <xf numFmtId="14" fontId="7" fillId="3" borderId="4" xfId="0" applyNumberFormat="1" applyFont="1" applyFill="1" applyBorder="1" applyAlignment="1" applyProtection="1">
      <alignment horizontal="center" vertical="center"/>
      <protection locked="0" hidden="1"/>
    </xf>
    <xf numFmtId="0" fontId="5" fillId="0" borderId="3" xfId="0" applyFont="1" applyBorder="1" applyAlignment="1" applyProtection="1">
      <alignment horizontal="right"/>
      <protection hidden="1"/>
    </xf>
    <xf numFmtId="14" fontId="8" fillId="3" borderId="4" xfId="0" applyNumberFormat="1" applyFont="1" applyFill="1" applyBorder="1" applyAlignment="1" applyProtection="1">
      <alignment horizontal="center"/>
      <protection locked="0" hidden="1"/>
    </xf>
    <xf numFmtId="0" fontId="8" fillId="3" borderId="4" xfId="0" applyFont="1" applyFill="1" applyBorder="1" applyAlignment="1" applyProtection="1">
      <alignment horizontal="center"/>
      <protection locked="0" hidden="1"/>
    </xf>
    <xf numFmtId="0" fontId="5" fillId="0" borderId="10" xfId="0" applyFont="1" applyBorder="1" applyAlignment="1" applyProtection="1">
      <alignment horizontal="right"/>
      <protection hidden="1"/>
    </xf>
    <xf numFmtId="0" fontId="8" fillId="3" borderId="13" xfId="0" applyFont="1" applyFill="1" applyBorder="1" applyAlignment="1" applyProtection="1">
      <alignment horizontal="center" vertical="center"/>
      <protection locked="0" hidden="1"/>
    </xf>
    <xf numFmtId="0" fontId="8" fillId="4" borderId="13" xfId="0" applyFont="1" applyFill="1" applyBorder="1" applyAlignment="1" applyProtection="1">
      <alignment horizontal="center" vertical="center"/>
      <protection locked="0" hidden="1"/>
    </xf>
    <xf numFmtId="0" fontId="8" fillId="5" borderId="13" xfId="0" applyFont="1" applyFill="1" applyBorder="1" applyAlignment="1" applyProtection="1">
      <alignment horizontal="center" vertical="center"/>
      <protection locked="0" hidden="1"/>
    </xf>
    <xf numFmtId="0" fontId="8" fillId="6" borderId="11" xfId="0" applyFont="1" applyFill="1" applyBorder="1" applyAlignment="1" applyProtection="1">
      <alignment horizontal="center" vertical="center"/>
      <protection locked="0" hidden="1"/>
    </xf>
    <xf numFmtId="0" fontId="5" fillId="0" borderId="7" xfId="0" applyFont="1" applyBorder="1" applyAlignment="1" applyProtection="1">
      <alignment horizontal="center"/>
      <protection hidden="1"/>
    </xf>
    <xf numFmtId="0" fontId="5" fillId="0" borderId="23" xfId="0" applyFont="1" applyBorder="1" applyAlignment="1" applyProtection="1">
      <alignment horizontal="center"/>
      <protection hidden="1"/>
    </xf>
    <xf numFmtId="0" fontId="8" fillId="3" borderId="13" xfId="0" applyFont="1" applyFill="1" applyBorder="1" applyAlignment="1" applyProtection="1">
      <alignment horizontal="center"/>
      <protection locked="0" hidden="1"/>
    </xf>
    <xf numFmtId="0" fontId="5" fillId="0" borderId="13" xfId="0" applyFont="1" applyBorder="1" applyAlignment="1" applyProtection="1">
      <alignment horizontal="right"/>
      <protection hidden="1"/>
    </xf>
    <xf numFmtId="0" fontId="8" fillId="4" borderId="13" xfId="0" applyFont="1" applyFill="1" applyBorder="1" applyAlignment="1" applyProtection="1">
      <alignment horizontal="center"/>
      <protection locked="0" hidden="1"/>
    </xf>
    <xf numFmtId="0" fontId="8" fillId="3" borderId="13" xfId="0" applyFont="1" applyFill="1" applyBorder="1" applyProtection="1">
      <protection locked="0" hidden="1"/>
    </xf>
    <xf numFmtId="0" fontId="8" fillId="4" borderId="11" xfId="0" applyFont="1" applyFill="1" applyBorder="1" applyProtection="1">
      <protection locked="0" hidden="1"/>
    </xf>
    <xf numFmtId="0" fontId="11" fillId="0" borderId="0" xfId="0" applyFont="1" applyFill="1" applyBorder="1" applyAlignment="1" applyProtection="1">
      <alignment horizontal="right" vertical="center"/>
      <protection hidden="1"/>
    </xf>
    <xf numFmtId="0" fontId="16" fillId="0" borderId="1" xfId="0" applyFont="1" applyBorder="1" applyAlignment="1" applyProtection="1">
      <alignment horizontal="center"/>
      <protection hidden="1"/>
    </xf>
    <xf numFmtId="0" fontId="5" fillId="0" borderId="14" xfId="0" applyFont="1" applyBorder="1" applyAlignment="1" applyProtection="1">
      <alignment horizontal="right"/>
      <protection hidden="1"/>
    </xf>
    <xf numFmtId="0" fontId="16" fillId="0" borderId="2" xfId="0" applyFont="1" applyBorder="1" applyAlignment="1" applyProtection="1">
      <alignment horizontal="center"/>
      <protection hidden="1"/>
    </xf>
    <xf numFmtId="0" fontId="8" fillId="3" borderId="32" xfId="0" applyFont="1" applyFill="1" applyBorder="1" applyAlignment="1" applyProtection="1">
      <alignment horizontal="center"/>
      <protection locked="0" hidden="1"/>
    </xf>
    <xf numFmtId="0" fontId="5" fillId="0" borderId="17" xfId="0" applyFont="1" applyBorder="1" applyAlignment="1" applyProtection="1">
      <alignment horizontal="right"/>
      <protection hidden="1"/>
    </xf>
    <xf numFmtId="0" fontId="16" fillId="0" borderId="24" xfId="0" applyFont="1" applyBorder="1" applyAlignment="1" applyProtection="1">
      <alignment horizontal="center"/>
      <protection hidden="1"/>
    </xf>
    <xf numFmtId="0" fontId="16" fillId="0" borderId="31" xfId="0" applyFont="1" applyBorder="1" applyAlignment="1" applyProtection="1">
      <alignment horizontal="center"/>
      <protection hidden="1"/>
    </xf>
    <xf numFmtId="0" fontId="16" fillId="0" borderId="1" xfId="0" applyNumberFormat="1" applyFont="1" applyBorder="1" applyAlignment="1" applyProtection="1">
      <alignment horizontal="center"/>
      <protection hidden="1"/>
    </xf>
    <xf numFmtId="14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14" fontId="14" fillId="0" borderId="0" xfId="0" applyNumberFormat="1" applyFont="1" applyFill="1" applyBorder="1" applyAlignment="1" applyProtection="1">
      <alignment horizontal="center"/>
      <protection locked="0" hidden="1"/>
    </xf>
    <xf numFmtId="0" fontId="15" fillId="0" borderId="0" xfId="0" applyFont="1" applyFill="1" applyBorder="1" applyAlignment="1" applyProtection="1">
      <alignment horizontal="center"/>
      <protection hidden="1"/>
    </xf>
    <xf numFmtId="0" fontId="15" fillId="0" borderId="0" xfId="0" applyNumberFormat="1" applyFont="1" applyFill="1" applyBorder="1" applyAlignment="1" applyProtection="1">
      <alignment horizontal="center"/>
      <protection hidden="1"/>
    </xf>
    <xf numFmtId="0" fontId="13" fillId="0" borderId="0" xfId="0" applyFont="1" applyFill="1" applyBorder="1" applyAlignment="1" applyProtection="1">
      <alignment horizontal="right"/>
      <protection hidden="1"/>
    </xf>
    <xf numFmtId="0" fontId="14" fillId="0" borderId="0" xfId="0" applyFont="1" applyFill="1" applyBorder="1" applyAlignment="1" applyProtection="1">
      <alignment horizontal="center"/>
      <protection locked="0" hidden="1"/>
    </xf>
    <xf numFmtId="0" fontId="0" fillId="0" borderId="0" xfId="0" applyFont="1"/>
    <xf numFmtId="0" fontId="5" fillId="0" borderId="30" xfId="0" applyFont="1" applyBorder="1" applyAlignment="1" applyProtection="1">
      <alignment horizontal="center" vertical="center"/>
      <protection hidden="1"/>
    </xf>
    <xf numFmtId="0" fontId="5" fillId="0" borderId="25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9" fillId="2" borderId="21" xfId="0" applyFont="1" applyFill="1" applyBorder="1" applyAlignment="1" applyProtection="1">
      <alignment vertical="center" wrapText="1"/>
      <protection hidden="1"/>
    </xf>
    <xf numFmtId="0" fontId="9" fillId="2" borderId="22" xfId="0" applyFont="1" applyFill="1" applyBorder="1" applyAlignment="1" applyProtection="1">
      <alignment vertical="center" wrapText="1"/>
      <protection hidden="1"/>
    </xf>
    <xf numFmtId="0" fontId="9" fillId="2" borderId="19" xfId="0" applyFont="1" applyFill="1" applyBorder="1" applyAlignment="1" applyProtection="1">
      <alignment vertical="center" wrapText="1"/>
      <protection hidden="1"/>
    </xf>
    <xf numFmtId="0" fontId="9" fillId="2" borderId="20" xfId="0" applyFont="1" applyFill="1" applyBorder="1" applyAlignment="1" applyProtection="1">
      <alignment vertical="center" wrapText="1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1" fillId="0" borderId="6" xfId="0" applyFont="1" applyBorder="1" applyAlignment="1" applyProtection="1">
      <alignment horizontal="center"/>
      <protection hidden="1"/>
    </xf>
    <xf numFmtId="0" fontId="8" fillId="3" borderId="27" xfId="0" applyFont="1" applyFill="1" applyBorder="1" applyAlignment="1" applyProtection="1">
      <alignment horizontal="center"/>
      <protection locked="0" hidden="1"/>
    </xf>
    <xf numFmtId="0" fontId="8" fillId="3" borderId="28" xfId="0" applyFont="1" applyFill="1" applyBorder="1" applyAlignment="1" applyProtection="1">
      <alignment horizontal="center"/>
      <protection locked="0" hidden="1"/>
    </xf>
    <xf numFmtId="0" fontId="8" fillId="3" borderId="29" xfId="0" applyFont="1" applyFill="1" applyBorder="1" applyAlignment="1" applyProtection="1">
      <alignment horizontal="center"/>
      <protection locked="0" hidden="1"/>
    </xf>
    <xf numFmtId="0" fontId="5" fillId="0" borderId="3" xfId="0" applyFont="1" applyBorder="1" applyAlignment="1" applyProtection="1">
      <alignment horizontal="right"/>
      <protection hidden="1"/>
    </xf>
    <xf numFmtId="0" fontId="5" fillId="0" borderId="5" xfId="0" applyFont="1" applyBorder="1" applyAlignment="1" applyProtection="1">
      <alignment horizontal="right"/>
      <protection hidden="1"/>
    </xf>
    <xf numFmtId="0" fontId="17" fillId="2" borderId="8" xfId="0" applyFont="1" applyFill="1" applyBorder="1" applyProtection="1">
      <protection hidden="1"/>
    </xf>
    <xf numFmtId="0" fontId="17" fillId="2" borderId="12" xfId="0" applyFont="1" applyFill="1" applyBorder="1" applyProtection="1">
      <protection hidden="1"/>
    </xf>
    <xf numFmtId="0" fontId="17" fillId="2" borderId="9" xfId="0" applyFont="1" applyFill="1" applyBorder="1" applyProtection="1">
      <protection hidden="1"/>
    </xf>
    <xf numFmtId="0" fontId="5" fillId="0" borderId="26" xfId="0" applyFont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 applyProtection="1">
      <alignment horizontal="center" vertical="center"/>
      <protection hidden="1"/>
    </xf>
    <xf numFmtId="0" fontId="5" fillId="0" borderId="22" xfId="0" applyFont="1" applyBorder="1" applyAlignment="1" applyProtection="1">
      <alignment horizontal="center" vertical="center"/>
      <protection hidden="1"/>
    </xf>
    <xf numFmtId="0" fontId="17" fillId="2" borderId="8" xfId="0" applyFont="1" applyFill="1" applyBorder="1" applyAlignment="1" applyProtection="1">
      <alignment horizontal="left"/>
      <protection hidden="1"/>
    </xf>
    <xf numFmtId="0" fontId="17" fillId="2" borderId="12" xfId="0" applyFont="1" applyFill="1" applyBorder="1" applyAlignment="1" applyProtection="1">
      <alignment horizontal="left"/>
      <protection hidden="1"/>
    </xf>
    <xf numFmtId="0" fontId="17" fillId="2" borderId="9" xfId="0" applyFont="1" applyFill="1" applyBorder="1" applyAlignment="1" applyProtection="1">
      <alignment horizontal="left"/>
      <protection hidden="1"/>
    </xf>
    <xf numFmtId="0" fontId="17" fillId="2" borderId="25" xfId="0" applyFont="1" applyFill="1" applyBorder="1" applyProtection="1">
      <protection hidden="1"/>
    </xf>
    <xf numFmtId="0" fontId="17" fillId="2" borderId="7" xfId="0" applyFont="1" applyFill="1" applyBorder="1" applyProtection="1">
      <protection hidden="1"/>
    </xf>
    <xf numFmtId="0" fontId="17" fillId="2" borderId="23" xfId="0" applyFont="1" applyFill="1" applyBorder="1" applyProtection="1">
      <protection hidden="1"/>
    </xf>
    <xf numFmtId="0" fontId="9" fillId="2" borderId="8" xfId="0" applyFont="1" applyFill="1" applyBorder="1" applyProtection="1">
      <protection hidden="1"/>
    </xf>
    <xf numFmtId="0" fontId="9" fillId="2" borderId="12" xfId="0" applyFont="1" applyFill="1" applyBorder="1" applyProtection="1">
      <protection hidden="1"/>
    </xf>
    <xf numFmtId="0" fontId="9" fillId="2" borderId="9" xfId="0" applyFont="1" applyFill="1" applyBorder="1" applyProtection="1">
      <protection hidden="1"/>
    </xf>
    <xf numFmtId="0" fontId="5" fillId="0" borderId="10" xfId="0" applyFont="1" applyFill="1" applyBorder="1" applyAlignment="1" applyProtection="1">
      <alignment horizontal="right"/>
      <protection hidden="1"/>
    </xf>
    <xf numFmtId="0" fontId="5" fillId="0" borderId="13" xfId="0" applyFont="1" applyFill="1" applyBorder="1" applyAlignment="1" applyProtection="1">
      <alignment horizontal="right"/>
      <protection hidden="1"/>
    </xf>
    <xf numFmtId="0" fontId="5" fillId="0" borderId="13" xfId="0" applyFont="1" applyBorder="1" applyAlignment="1" applyProtection="1">
      <alignment horizontal="right"/>
      <protection hidden="1"/>
    </xf>
    <xf numFmtId="0" fontId="4" fillId="0" borderId="14" xfId="0" applyFont="1" applyBorder="1" applyAlignment="1" applyProtection="1">
      <alignment horizontal="center"/>
      <protection hidden="1"/>
    </xf>
    <xf numFmtId="0" fontId="4" fillId="0" borderId="17" xfId="0" applyFont="1" applyBorder="1" applyAlignment="1" applyProtection="1">
      <alignment horizontal="center"/>
      <protection hidden="1"/>
    </xf>
    <xf numFmtId="0" fontId="8" fillId="3" borderId="16" xfId="0" applyFont="1" applyFill="1" applyBorder="1" applyAlignment="1" applyProtection="1">
      <alignment horizontal="center"/>
      <protection locked="0" hidden="1"/>
    </xf>
    <xf numFmtId="0" fontId="8" fillId="3" borderId="17" xfId="0" applyFont="1" applyFill="1" applyBorder="1" applyAlignment="1" applyProtection="1">
      <alignment horizontal="center"/>
      <protection locked="0" hidden="1"/>
    </xf>
    <xf numFmtId="0" fontId="8" fillId="3" borderId="18" xfId="0" applyFont="1" applyFill="1" applyBorder="1" applyAlignment="1" applyProtection="1">
      <alignment horizontal="center"/>
      <protection locked="0"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5" fillId="0" borderId="15" xfId="0" applyFont="1" applyBorder="1" applyAlignment="1" applyProtection="1">
      <alignment horizontal="center" vertical="center"/>
      <protection hidden="1"/>
    </xf>
    <xf numFmtId="49" fontId="8" fillId="3" borderId="16" xfId="0" applyNumberFormat="1" applyFont="1" applyFill="1" applyBorder="1" applyAlignment="1" applyProtection="1">
      <alignment horizontal="center" vertical="center" wrapText="1"/>
      <protection locked="0" hidden="1"/>
    </xf>
    <xf numFmtId="49" fontId="8" fillId="3" borderId="17" xfId="0" applyNumberFormat="1" applyFont="1" applyFill="1" applyBorder="1" applyAlignment="1" applyProtection="1">
      <alignment horizontal="center" vertical="center" wrapText="1"/>
      <protection locked="0" hidden="1"/>
    </xf>
    <xf numFmtId="49" fontId="8" fillId="3" borderId="15" xfId="0" applyNumberFormat="1" applyFont="1" applyFill="1" applyBorder="1" applyAlignment="1" applyProtection="1">
      <alignment horizontal="center" vertical="center" wrapText="1"/>
      <protection locked="0" hidden="1"/>
    </xf>
    <xf numFmtId="0" fontId="18" fillId="0" borderId="0" xfId="0" applyFont="1" applyFill="1" applyBorder="1" applyProtection="1">
      <protection hidden="1"/>
    </xf>
    <xf numFmtId="0" fontId="13" fillId="0" borderId="0" xfId="0" applyFont="1" applyFill="1" applyBorder="1" applyAlignment="1" applyProtection="1">
      <alignment horizontal="center" vertical="center"/>
      <protection hidden="1"/>
    </xf>
    <xf numFmtId="0" fontId="9" fillId="2" borderId="25" xfId="0" applyFont="1" applyFill="1" applyBorder="1" applyProtection="1">
      <protection hidden="1"/>
    </xf>
    <xf numFmtId="0" fontId="9" fillId="2" borderId="7" xfId="0" applyFont="1" applyFill="1" applyBorder="1" applyProtection="1">
      <protection hidden="1"/>
    </xf>
    <xf numFmtId="0" fontId="9" fillId="2" borderId="23" xfId="0" applyFont="1" applyFill="1" applyBorder="1" applyProtection="1">
      <protection hidden="1"/>
    </xf>
    <xf numFmtId="0" fontId="10" fillId="0" borderId="0" xfId="0" applyFont="1" applyFill="1" applyBorder="1" applyAlignment="1" applyProtection="1">
      <alignment horizontal="center"/>
      <protection hidden="1"/>
    </xf>
    <xf numFmtId="0" fontId="13" fillId="0" borderId="0" xfId="0" applyFont="1" applyFill="1" applyBorder="1" applyAlignment="1" applyProtection="1">
      <alignment horizontal="right"/>
      <protection hidden="1"/>
    </xf>
    <xf numFmtId="0" fontId="14" fillId="0" borderId="0" xfId="0" applyFont="1" applyFill="1" applyBorder="1" applyAlignment="1" applyProtection="1">
      <alignment horizontal="center"/>
      <protection locked="0" hidden="1"/>
    </xf>
    <xf numFmtId="0" fontId="13" fillId="0" borderId="0" xfId="0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Fill="1" applyBorder="1" applyAlignment="1" applyProtection="1">
      <alignment horizontal="left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8"/>
  <sheetViews>
    <sheetView tabSelected="1" zoomScale="85" zoomScaleNormal="85" workbookViewId="0">
      <selection activeCell="F16" sqref="F16"/>
    </sheetView>
  </sheetViews>
  <sheetFormatPr defaultRowHeight="14.4" x14ac:dyDescent="0.3"/>
  <cols>
    <col min="1" max="4" width="20.6640625" customWidth="1"/>
    <col min="5" max="5" width="22.5546875" customWidth="1"/>
    <col min="6" max="6" width="20.6640625" customWidth="1"/>
  </cols>
  <sheetData>
    <row r="1" spans="1:6" ht="28.2" thickBot="1" x14ac:dyDescent="0.7">
      <c r="A1" s="43" t="s">
        <v>23</v>
      </c>
      <c r="B1" s="43"/>
      <c r="C1" s="43"/>
      <c r="D1" s="44"/>
      <c r="E1" s="2" t="s">
        <v>3</v>
      </c>
      <c r="F1" s="3">
        <f ca="1">TODAY()</f>
        <v>45943</v>
      </c>
    </row>
    <row r="2" spans="1:6" ht="19.2" thickBot="1" x14ac:dyDescent="0.5">
      <c r="A2" s="48" t="s">
        <v>0</v>
      </c>
      <c r="B2" s="49"/>
      <c r="C2" s="45" t="s">
        <v>24</v>
      </c>
      <c r="D2" s="46"/>
      <c r="E2" s="46"/>
      <c r="F2" s="47"/>
    </row>
    <row r="3" spans="1:6" ht="19.2" thickBot="1" x14ac:dyDescent="0.5">
      <c r="A3" s="4" t="s">
        <v>2</v>
      </c>
      <c r="B3" s="5">
        <v>39184</v>
      </c>
      <c r="C3" s="4" t="s">
        <v>1</v>
      </c>
      <c r="D3" s="6">
        <v>1111</v>
      </c>
      <c r="E3" s="4" t="s">
        <v>22</v>
      </c>
      <c r="F3" s="6">
        <v>17</v>
      </c>
    </row>
    <row r="4" spans="1:6" ht="41.4" customHeight="1" thickBot="1" x14ac:dyDescent="0.35">
      <c r="A4" s="53" t="s">
        <v>10</v>
      </c>
      <c r="B4" s="54"/>
      <c r="C4" s="54"/>
      <c r="D4" s="54"/>
      <c r="E4" s="54"/>
      <c r="F4" s="55"/>
    </row>
    <row r="5" spans="1:6" ht="23.25" customHeight="1" x14ac:dyDescent="0.35">
      <c r="A5" s="56" t="s">
        <v>14</v>
      </c>
      <c r="B5" s="57"/>
      <c r="C5" s="57"/>
      <c r="D5" s="57"/>
      <c r="E5" s="57"/>
      <c r="F5" s="58"/>
    </row>
    <row r="6" spans="1:6" ht="15.6" x14ac:dyDescent="0.3">
      <c r="A6" s="35" t="s">
        <v>18</v>
      </c>
      <c r="B6" s="20" t="str">
        <f ca="1">DEC2BIN((YEAR($F$1)-YEAR($B$3))*10+DAY($B$3)+MONTH($B$3))</f>
        <v>11000100</v>
      </c>
      <c r="C6" s="37" t="s">
        <v>19</v>
      </c>
      <c r="D6" s="20" t="str">
        <f ca="1">DEC2OCT((YEAR($F$1)-YEAR($B$3))*13+DAY($B$3))</f>
        <v>366</v>
      </c>
      <c r="E6" s="37" t="s">
        <v>20</v>
      </c>
      <c r="F6" s="25" t="str">
        <f ca="1">DEC2HEX((YEAR($F$1)-YEAR($B$3))*10+MONTH($B$3))</f>
        <v>B8</v>
      </c>
    </row>
    <row r="7" spans="1:6" s="1" customFormat="1" ht="16.2" thickBot="1" x14ac:dyDescent="0.35">
      <c r="A7" s="36"/>
      <c r="B7" s="22" t="str">
        <f ca="1">DEC2BIN((YEAR($F$1)-YEAR($B$3))*3+DAY($B$3)*5-MONTH($B$3))</f>
        <v>1101110</v>
      </c>
      <c r="C7" s="38"/>
      <c r="D7" s="22" t="str">
        <f ca="1">DEC2OCT((YEAR($F$1)-YEAR($B$3))*8+DAY($B$3)*25)</f>
        <v>674</v>
      </c>
      <c r="E7" s="38"/>
      <c r="F7" s="26" t="str">
        <f ca="1">DEC2HEX((YEAR($F$1)-YEAR($B$3))*10+MONTH($B$3)*23)</f>
        <v>110</v>
      </c>
    </row>
    <row r="8" spans="1:6" ht="19.2" thickBot="1" x14ac:dyDescent="0.5">
      <c r="A8" s="21" t="s">
        <v>4</v>
      </c>
      <c r="B8" s="23">
        <v>100110010</v>
      </c>
      <c r="C8" s="24" t="s">
        <v>4</v>
      </c>
      <c r="D8" s="23">
        <v>1262</v>
      </c>
      <c r="E8" s="24" t="s">
        <v>4</v>
      </c>
      <c r="F8" s="23" t="s">
        <v>25</v>
      </c>
    </row>
    <row r="9" spans="1:6" ht="25.5" customHeight="1" x14ac:dyDescent="0.35">
      <c r="A9" s="50" t="s">
        <v>15</v>
      </c>
      <c r="B9" s="51"/>
      <c r="C9" s="51"/>
      <c r="D9" s="51"/>
      <c r="E9" s="51"/>
      <c r="F9" s="52"/>
    </row>
    <row r="10" spans="1:6" ht="15.6" x14ac:dyDescent="0.3">
      <c r="A10" s="35" t="s">
        <v>18</v>
      </c>
      <c r="B10" s="20" t="str">
        <f ca="1">DEC2BIN((YEAR($F$1)-YEAR($B$3))*10+DAY($B$3)+MONTH($B$3))</f>
        <v>11000100</v>
      </c>
      <c r="C10" s="37" t="s">
        <v>19</v>
      </c>
      <c r="D10" s="22" t="str">
        <f ca="1">DEC2OCT((YEAR($F$1)-YEAR($B$3))*8+DAY($B$3)*25)</f>
        <v>674</v>
      </c>
      <c r="E10" s="37" t="s">
        <v>20</v>
      </c>
      <c r="F10" s="25" t="str">
        <f>DEC2HEX(YEAR($B$3)-MONTH($B$3)-1500)</f>
        <v>1F7</v>
      </c>
    </row>
    <row r="11" spans="1:6" s="1" customFormat="1" ht="16.2" thickBot="1" x14ac:dyDescent="0.35">
      <c r="A11" s="36"/>
      <c r="B11" s="22" t="str">
        <f ca="1">DEC2BIN((YEAR($F$1)-YEAR($B$3))*3+DAY($B$3)-MONTH($B$3))</f>
        <v>111110</v>
      </c>
      <c r="C11" s="38"/>
      <c r="D11" s="20" t="str">
        <f ca="1">DEC2OCT((YEAR($F$1)-YEAR($B$3))*9+DAY($B$3))</f>
        <v>256</v>
      </c>
      <c r="E11" s="38"/>
      <c r="F11" s="25" t="str">
        <f ca="1">DEC2HEX((YEAR($F$1)-YEAR($B$3))*9+MONTH($B$3))</f>
        <v>A6</v>
      </c>
    </row>
    <row r="12" spans="1:6" ht="19.2" thickBot="1" x14ac:dyDescent="0.5">
      <c r="A12" s="7" t="s">
        <v>4</v>
      </c>
      <c r="B12" s="14">
        <v>10000110</v>
      </c>
      <c r="C12" s="15" t="s">
        <v>4</v>
      </c>
      <c r="D12" s="16">
        <v>416</v>
      </c>
      <c r="E12" s="15" t="s">
        <v>4</v>
      </c>
      <c r="F12" s="23">
        <v>151</v>
      </c>
    </row>
    <row r="13" spans="1:6" ht="21" customHeight="1" x14ac:dyDescent="0.35">
      <c r="A13" s="50" t="s">
        <v>16</v>
      </c>
      <c r="B13" s="51"/>
      <c r="C13" s="51"/>
      <c r="D13" s="51"/>
      <c r="E13" s="51"/>
      <c r="F13" s="52"/>
    </row>
    <row r="14" spans="1:6" ht="15.6" x14ac:dyDescent="0.3">
      <c r="A14" s="35" t="s">
        <v>18</v>
      </c>
      <c r="B14" s="27" t="str">
        <f>DEC2BIN(DAY($B$3)*3)</f>
        <v>100100</v>
      </c>
      <c r="C14" s="37" t="s">
        <v>19</v>
      </c>
      <c r="D14" s="20" t="str">
        <f>DEC2OCT(DAY($B$3)*5+9)</f>
        <v>105</v>
      </c>
      <c r="E14" s="37" t="s">
        <v>20</v>
      </c>
      <c r="F14" s="25" t="str">
        <f>DEC2HEX(YEAR($B$3)-MONTH($B$3)*72)</f>
        <v>6B7</v>
      </c>
    </row>
    <row r="15" spans="1:6" s="1" customFormat="1" ht="16.2" thickBot="1" x14ac:dyDescent="0.35">
      <c r="A15" s="36"/>
      <c r="B15" s="27" t="str">
        <f>DEC2BIN(DAY($B$3)/2+2)</f>
        <v>1000</v>
      </c>
      <c r="C15" s="38"/>
      <c r="D15" s="20" t="str">
        <f>DEC2OCT(DAY($B$3)+9)</f>
        <v>25</v>
      </c>
      <c r="E15" s="38"/>
      <c r="F15" s="25" t="str">
        <f>DEC2HEX((MONTH($B$3))*19)</f>
        <v>4C</v>
      </c>
    </row>
    <row r="16" spans="1:6" ht="19.2" thickBot="1" x14ac:dyDescent="0.5">
      <c r="A16" s="7" t="s">
        <v>4</v>
      </c>
      <c r="B16" s="23">
        <v>100100000</v>
      </c>
      <c r="C16" s="15" t="s">
        <v>4</v>
      </c>
      <c r="D16" s="23">
        <v>2651</v>
      </c>
      <c r="E16" s="15" t="s">
        <v>4</v>
      </c>
      <c r="F16" s="23" t="s">
        <v>26</v>
      </c>
    </row>
    <row r="17" spans="1:6" ht="22.5" customHeight="1" x14ac:dyDescent="0.35">
      <c r="A17" s="59" t="s">
        <v>17</v>
      </c>
      <c r="B17" s="60"/>
      <c r="C17" s="60"/>
      <c r="D17" s="60"/>
      <c r="E17" s="60"/>
      <c r="F17" s="61"/>
    </row>
    <row r="18" spans="1:6" ht="15.6" x14ac:dyDescent="0.3">
      <c r="A18" s="35" t="s">
        <v>18</v>
      </c>
      <c r="B18" s="27" t="str">
        <f>DEC2BIN(511 - $F$3)</f>
        <v>111101110</v>
      </c>
      <c r="C18" s="37" t="s">
        <v>19</v>
      </c>
      <c r="D18" s="20" t="str">
        <f ca="1">DEC2OCT((YEAR($F$1)-YEAR($B$3))*13)</f>
        <v>352</v>
      </c>
      <c r="E18" s="37" t="s">
        <v>20</v>
      </c>
      <c r="F18" s="25" t="str">
        <f>DEC2HEX(YEAR($B$3)-MONTH($B$3)*29)</f>
        <v>763</v>
      </c>
    </row>
    <row r="19" spans="1:6" s="1" customFormat="1" ht="16.2" thickBot="1" x14ac:dyDescent="0.35">
      <c r="A19" s="36"/>
      <c r="B19" s="27" t="str">
        <f>DEC2BIN(MONTH($B$3)+1)</f>
        <v>101</v>
      </c>
      <c r="C19" s="38"/>
      <c r="D19" s="20" t="str">
        <f>DEC2OCT(MONTH($B$3)+4)</f>
        <v>10</v>
      </c>
      <c r="E19" s="38"/>
      <c r="F19" s="25" t="str">
        <f>DEC2HEX(MONTH($B$3)+8)</f>
        <v>C</v>
      </c>
    </row>
    <row r="20" spans="1:6" ht="19.2" thickBot="1" x14ac:dyDescent="0.5">
      <c r="A20" s="7" t="s">
        <v>4</v>
      </c>
      <c r="B20" s="23" t="s">
        <v>27</v>
      </c>
      <c r="C20" s="15" t="s">
        <v>4</v>
      </c>
      <c r="D20" s="23" t="s">
        <v>28</v>
      </c>
      <c r="E20" s="15" t="s">
        <v>4</v>
      </c>
      <c r="F20" s="23" t="s">
        <v>29</v>
      </c>
    </row>
    <row r="21" spans="1:6" ht="15.6" hidden="1" x14ac:dyDescent="0.3">
      <c r="A21" s="62" t="str">
        <f>CONCATENATE("5. Определите информационный объем текста [студент НВГУ группы №",D3," ",C2,"] в байтах")</f>
        <v>5. Определите информационный объем текста [студент НВГУ группы №1111 Ботников Максим] в байтах</v>
      </c>
      <c r="B21" s="63"/>
      <c r="C21" s="63"/>
      <c r="D21" s="63"/>
      <c r="E21" s="63"/>
      <c r="F21" s="64"/>
    </row>
    <row r="22" spans="1:6" ht="19.2" hidden="1" thickBot="1" x14ac:dyDescent="0.5">
      <c r="A22" s="65" t="s">
        <v>7</v>
      </c>
      <c r="B22" s="66"/>
      <c r="C22" s="17"/>
      <c r="D22" s="67" t="s">
        <v>8</v>
      </c>
      <c r="E22" s="67"/>
      <c r="F22" s="18"/>
    </row>
    <row r="23" spans="1:6" ht="15.6" hidden="1" x14ac:dyDescent="0.3">
      <c r="A23" s="39" t="s">
        <v>12</v>
      </c>
      <c r="B23" s="40"/>
      <c r="C23" s="12" t="s">
        <v>6</v>
      </c>
      <c r="D23" s="12" t="str">
        <f>CONCATENATE(ROUND(F3/10,0)," бит")</f>
        <v>2 бит</v>
      </c>
      <c r="E23" s="12" t="str">
        <f>CONCATENATE(YEAR(B3), " байт")</f>
        <v>2007 байт</v>
      </c>
      <c r="F23" s="13" t="s">
        <v>5</v>
      </c>
    </row>
    <row r="24" spans="1:6" ht="19.2" hidden="1" thickBot="1" x14ac:dyDescent="0.35">
      <c r="A24" s="41"/>
      <c r="B24" s="42"/>
      <c r="C24" s="8"/>
      <c r="D24" s="9"/>
      <c r="E24" s="10"/>
      <c r="F24" s="11"/>
    </row>
    <row r="25" spans="1:6" ht="15.6" hidden="1" x14ac:dyDescent="0.3">
      <c r="A25" s="62" t="s">
        <v>9</v>
      </c>
      <c r="B25" s="63"/>
      <c r="C25" s="63"/>
      <c r="D25" s="63"/>
      <c r="E25" s="63"/>
      <c r="F25" s="64"/>
    </row>
    <row r="26" spans="1:6" ht="36" hidden="1" customHeight="1" thickBot="1" x14ac:dyDescent="0.35">
      <c r="A26" s="73" t="str">
        <f>C2</f>
        <v>Ботников Максим</v>
      </c>
      <c r="B26" s="74"/>
      <c r="C26" s="75"/>
      <c r="D26" s="76"/>
      <c r="E26" s="76"/>
      <c r="F26" s="77"/>
    </row>
    <row r="27" spans="1:6" ht="15.6" hidden="1" x14ac:dyDescent="0.3">
      <c r="A27" s="62" t="s">
        <v>11</v>
      </c>
      <c r="B27" s="63"/>
      <c r="C27" s="63"/>
      <c r="D27" s="63"/>
      <c r="E27" s="63"/>
      <c r="F27" s="64"/>
    </row>
    <row r="28" spans="1:6" ht="19.2" hidden="1" thickBot="1" x14ac:dyDescent="0.5">
      <c r="A28" s="68" t="e">
        <f>VLOOKUP(#REF!,#REF!:#REF!,2)</f>
        <v>#REF!</v>
      </c>
      <c r="B28" s="69"/>
      <c r="C28" s="69"/>
      <c r="D28" s="70"/>
      <c r="E28" s="71"/>
      <c r="F28" s="72"/>
    </row>
  </sheetData>
  <sheetProtection selectLockedCells="1"/>
  <mergeCells count="30">
    <mergeCell ref="A28:C28"/>
    <mergeCell ref="D28:F28"/>
    <mergeCell ref="A25:F25"/>
    <mergeCell ref="A26:B26"/>
    <mergeCell ref="C26:F26"/>
    <mergeCell ref="A27:F27"/>
    <mergeCell ref="A23:B24"/>
    <mergeCell ref="A1:D1"/>
    <mergeCell ref="C2:F2"/>
    <mergeCell ref="A2:B2"/>
    <mergeCell ref="A9:F9"/>
    <mergeCell ref="A4:F4"/>
    <mergeCell ref="A5:F5"/>
    <mergeCell ref="A13:F13"/>
    <mergeCell ref="A17:F17"/>
    <mergeCell ref="A21:F21"/>
    <mergeCell ref="A22:B22"/>
    <mergeCell ref="D22:E22"/>
    <mergeCell ref="A6:A7"/>
    <mergeCell ref="C6:C7"/>
    <mergeCell ref="E6:E7"/>
    <mergeCell ref="A10:A11"/>
    <mergeCell ref="A18:A19"/>
    <mergeCell ref="C18:C19"/>
    <mergeCell ref="E18:E19"/>
    <mergeCell ref="C10:C11"/>
    <mergeCell ref="E10:E11"/>
    <mergeCell ref="A14:A15"/>
    <mergeCell ref="C14:C15"/>
    <mergeCell ref="E14:E15"/>
  </mergeCells>
  <dataValidations count="3">
    <dataValidation type="whole" errorStyle="warning" allowBlank="1" showInputMessage="1" showErrorMessage="1" error="Только число!" sqref="D3">
      <formula1>1</formula1>
      <formula2>99</formula2>
    </dataValidation>
    <dataValidation type="list" allowBlank="1" showInputMessage="1" showErrorMessage="1" sqref="C24:F24">
      <formula1>$C$23:$F$23</formula1>
    </dataValidation>
    <dataValidation type="textLength" allowBlank="1" showInputMessage="1" showErrorMessage="1" sqref="C2:F2">
      <formula1>0</formula1>
      <formula2>30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7"/>
  <sheetViews>
    <sheetView zoomScale="85" zoomScaleNormal="85" workbookViewId="0">
      <selection sqref="A1:F20"/>
    </sheetView>
  </sheetViews>
  <sheetFormatPr defaultColWidth="9.109375" defaultRowHeight="14.4" x14ac:dyDescent="0.3"/>
  <cols>
    <col min="1" max="4" width="20.6640625" style="1" customWidth="1"/>
    <col min="5" max="5" width="22.5546875" style="1" customWidth="1"/>
    <col min="6" max="6" width="20.6640625" style="1" customWidth="1"/>
    <col min="7" max="16384" width="9.109375" style="1"/>
  </cols>
  <sheetData>
    <row r="1" spans="1:6" ht="27.6" x14ac:dyDescent="0.65">
      <c r="A1" s="83" t="s">
        <v>21</v>
      </c>
      <c r="B1" s="83"/>
      <c r="C1" s="83"/>
      <c r="D1" s="83"/>
      <c r="E1" s="19" t="s">
        <v>3</v>
      </c>
      <c r="F1" s="28">
        <f ca="1">Задание!F1</f>
        <v>45943</v>
      </c>
    </row>
    <row r="2" spans="1:6" ht="18.600000000000001" x14ac:dyDescent="0.45">
      <c r="A2" s="84" t="s">
        <v>0</v>
      </c>
      <c r="B2" s="84"/>
      <c r="C2" s="85" t="str">
        <f>Задание!C2</f>
        <v>Ботников Максим</v>
      </c>
      <c r="D2" s="85"/>
      <c r="E2" s="85"/>
      <c r="F2" s="85"/>
    </row>
    <row r="3" spans="1:6" ht="18.600000000000001" x14ac:dyDescent="0.45">
      <c r="A3" s="32" t="s">
        <v>2</v>
      </c>
      <c r="B3" s="29">
        <f>Задание!B3</f>
        <v>39184</v>
      </c>
      <c r="C3" s="32" t="s">
        <v>1</v>
      </c>
      <c r="D3" s="33">
        <f>Задание!D3</f>
        <v>1111</v>
      </c>
      <c r="E3" s="32" t="s">
        <v>22</v>
      </c>
      <c r="F3" s="33">
        <f>Задание!F3</f>
        <v>17</v>
      </c>
    </row>
    <row r="4" spans="1:6" ht="49.2" customHeight="1" x14ac:dyDescent="0.3">
      <c r="A4" s="86" t="s">
        <v>13</v>
      </c>
      <c r="B4" s="79"/>
      <c r="C4" s="79"/>
      <c r="D4" s="79"/>
      <c r="E4" s="79"/>
      <c r="F4" s="79"/>
    </row>
    <row r="5" spans="1:6" ht="23.25" customHeight="1" x14ac:dyDescent="0.35">
      <c r="A5" s="87" t="s">
        <v>14</v>
      </c>
      <c r="B5" s="87"/>
      <c r="C5" s="87"/>
      <c r="D5" s="87"/>
      <c r="E5" s="87"/>
      <c r="F5" s="87"/>
    </row>
    <row r="6" spans="1:6" ht="15.6" x14ac:dyDescent="0.3">
      <c r="A6" s="79" t="s">
        <v>18</v>
      </c>
      <c r="B6" s="30" t="str">
        <f ca="1">Задание!B6</f>
        <v>11000100</v>
      </c>
      <c r="C6" s="79" t="s">
        <v>19</v>
      </c>
      <c r="D6" s="30" t="str">
        <f ca="1">Задание!D6</f>
        <v>366</v>
      </c>
      <c r="E6" s="79" t="s">
        <v>20</v>
      </c>
      <c r="F6" s="30" t="str">
        <f ca="1">Задание!F6</f>
        <v>B8</v>
      </c>
    </row>
    <row r="7" spans="1:6" ht="15.6" x14ac:dyDescent="0.3">
      <c r="A7" s="79"/>
      <c r="B7" s="30" t="str">
        <f ca="1">Задание!B7</f>
        <v>1101110</v>
      </c>
      <c r="C7" s="79"/>
      <c r="D7" s="30" t="str">
        <f ca="1">Задание!D7</f>
        <v>674</v>
      </c>
      <c r="E7" s="79"/>
      <c r="F7" s="30" t="str">
        <f ca="1">Задание!F7</f>
        <v>110</v>
      </c>
    </row>
    <row r="8" spans="1:6" ht="18.600000000000001" x14ac:dyDescent="0.45">
      <c r="A8" s="32" t="s">
        <v>4</v>
      </c>
      <c r="B8" s="33" t="str">
        <f ca="1">DEC2BIN(BIN2DEC(B6)+BIN2DEC(B7))</f>
        <v>100110010</v>
      </c>
      <c r="C8" s="32" t="s">
        <v>4</v>
      </c>
      <c r="D8" s="33" t="str">
        <f ca="1">DEC2OCT(OCT2DEC(D6)+OCT2DEC(D7))</f>
        <v>1262</v>
      </c>
      <c r="E8" s="32" t="s">
        <v>4</v>
      </c>
      <c r="F8" s="33" t="str">
        <f ca="1">DEC2HEX(HEX2DEC(F6)+HEX2DEC(F7))</f>
        <v>1C8</v>
      </c>
    </row>
    <row r="9" spans="1:6" ht="25.5" customHeight="1" x14ac:dyDescent="0.35">
      <c r="A9" s="78" t="s">
        <v>15</v>
      </c>
      <c r="B9" s="78"/>
      <c r="C9" s="78"/>
      <c r="D9" s="78"/>
      <c r="E9" s="78"/>
      <c r="F9" s="78"/>
    </row>
    <row r="10" spans="1:6" ht="15.6" x14ac:dyDescent="0.3">
      <c r="A10" s="79" t="s">
        <v>18</v>
      </c>
      <c r="B10" s="30" t="str">
        <f ca="1">Задание!B10</f>
        <v>11000100</v>
      </c>
      <c r="C10" s="79" t="s">
        <v>19</v>
      </c>
      <c r="D10" s="30" t="str">
        <f ca="1">Задание!D10</f>
        <v>674</v>
      </c>
      <c r="E10" s="79" t="s">
        <v>20</v>
      </c>
      <c r="F10" s="30" t="str">
        <f>Задание!F10</f>
        <v>1F7</v>
      </c>
    </row>
    <row r="11" spans="1:6" ht="15.6" x14ac:dyDescent="0.3">
      <c r="A11" s="79"/>
      <c r="B11" s="30" t="str">
        <f ca="1">Задание!B11</f>
        <v>111110</v>
      </c>
      <c r="C11" s="79"/>
      <c r="D11" s="30" t="str">
        <f ca="1">Задание!D11</f>
        <v>256</v>
      </c>
      <c r="E11" s="79"/>
      <c r="F11" s="30" t="str">
        <f ca="1">Задание!F11</f>
        <v>A6</v>
      </c>
    </row>
    <row r="12" spans="1:6" ht="18.600000000000001" x14ac:dyDescent="0.45">
      <c r="A12" s="32" t="s">
        <v>4</v>
      </c>
      <c r="B12" s="33" t="str">
        <f ca="1">DEC2BIN(BIN2DEC(B10)-BIN2DEC(B11))</f>
        <v>10000110</v>
      </c>
      <c r="C12" s="32" t="s">
        <v>4</v>
      </c>
      <c r="D12" s="33" t="str">
        <f ca="1">DEC2OCT(OCT2DEC(D10)-OCT2DEC(D11))</f>
        <v>416</v>
      </c>
      <c r="E12" s="32" t="s">
        <v>4</v>
      </c>
      <c r="F12" s="33" t="str">
        <f ca="1">DEC2HEX(HEX2DEC(F10)-HEX2DEC(F11))</f>
        <v>151</v>
      </c>
    </row>
    <row r="13" spans="1:6" ht="21" customHeight="1" x14ac:dyDescent="0.35">
      <c r="A13" s="78" t="s">
        <v>16</v>
      </c>
      <c r="B13" s="78"/>
      <c r="C13" s="78"/>
      <c r="D13" s="78"/>
      <c r="E13" s="78"/>
      <c r="F13" s="78"/>
    </row>
    <row r="14" spans="1:6" ht="15.6" x14ac:dyDescent="0.3">
      <c r="A14" s="79" t="s">
        <v>18</v>
      </c>
      <c r="B14" s="31" t="str">
        <f>Задание!B14</f>
        <v>100100</v>
      </c>
      <c r="C14" s="79" t="s">
        <v>19</v>
      </c>
      <c r="D14" s="30" t="str">
        <f>Задание!D14</f>
        <v>105</v>
      </c>
      <c r="E14" s="79" t="s">
        <v>20</v>
      </c>
      <c r="F14" s="30" t="str">
        <f>Задание!F14</f>
        <v>6B7</v>
      </c>
    </row>
    <row r="15" spans="1:6" ht="15.6" x14ac:dyDescent="0.3">
      <c r="A15" s="79"/>
      <c r="B15" s="31" t="str">
        <f>Задание!B15</f>
        <v>1000</v>
      </c>
      <c r="C15" s="79"/>
      <c r="D15" s="30" t="str">
        <f>Задание!D15</f>
        <v>25</v>
      </c>
      <c r="E15" s="79"/>
      <c r="F15" s="30" t="str">
        <f>Задание!F15</f>
        <v>4C</v>
      </c>
    </row>
    <row r="16" spans="1:6" ht="18.600000000000001" x14ac:dyDescent="0.45">
      <c r="A16" s="32" t="s">
        <v>4</v>
      </c>
      <c r="B16" s="33" t="str">
        <f>DEC2BIN(BIN2DEC(B14)*BIN2DEC(B15))</f>
        <v>100100000</v>
      </c>
      <c r="C16" s="32" t="s">
        <v>4</v>
      </c>
      <c r="D16" s="33" t="str">
        <f>DEC2OCT(OCT2DEC(D14)*OCT2DEC(D15))</f>
        <v>2651</v>
      </c>
      <c r="E16" s="32" t="s">
        <v>4</v>
      </c>
      <c r="F16" s="33" t="str">
        <f>DEC2HEX(HEX2DEC(F14)*HEX2DEC(F15))</f>
        <v>1FE54</v>
      </c>
    </row>
    <row r="17" spans="1:6" ht="22.5" customHeight="1" x14ac:dyDescent="0.35">
      <c r="A17" s="78" t="s">
        <v>17</v>
      </c>
      <c r="B17" s="78"/>
      <c r="C17" s="78"/>
      <c r="D17" s="78"/>
      <c r="E17" s="78"/>
      <c r="F17" s="78"/>
    </row>
    <row r="18" spans="1:6" ht="15.6" x14ac:dyDescent="0.3">
      <c r="A18" s="79" t="s">
        <v>18</v>
      </c>
      <c r="B18" s="31" t="str">
        <f>Задание!B18</f>
        <v>111101110</v>
      </c>
      <c r="C18" s="79" t="s">
        <v>19</v>
      </c>
      <c r="D18" s="30" t="str">
        <f ca="1">Задание!D18</f>
        <v>352</v>
      </c>
      <c r="E18" s="79" t="s">
        <v>20</v>
      </c>
      <c r="F18" s="30" t="str">
        <f>Задание!F18</f>
        <v>763</v>
      </c>
    </row>
    <row r="19" spans="1:6" ht="15.6" x14ac:dyDescent="0.3">
      <c r="A19" s="79"/>
      <c r="B19" s="31" t="str">
        <f>Задание!B19</f>
        <v>101</v>
      </c>
      <c r="C19" s="79"/>
      <c r="D19" s="30" t="str">
        <f>Задание!D19</f>
        <v>10</v>
      </c>
      <c r="E19" s="79"/>
      <c r="F19" s="30" t="str">
        <f>Задание!F19</f>
        <v>C</v>
      </c>
    </row>
    <row r="20" spans="1:6" ht="18.600000000000001" x14ac:dyDescent="0.45">
      <c r="A20" s="32" t="s">
        <v>4</v>
      </c>
      <c r="B20" s="33" t="str">
        <f>DEC2BIN(BIN2DEC(B18)/BIN2DEC(B19))</f>
        <v>1100010</v>
      </c>
      <c r="C20" s="32" t="s">
        <v>4</v>
      </c>
      <c r="D20" s="33" t="str">
        <f ca="1">DEC2OCT(OCT2DEC(D18)/OCT2DEC(D19))</f>
        <v>35</v>
      </c>
      <c r="E20" s="32" t="s">
        <v>4</v>
      </c>
      <c r="F20" s="33" t="str">
        <f>DEC2HEX(HEX2DEC(F18)/HEX2DEC(F19))</f>
        <v>9D</v>
      </c>
    </row>
    <row r="21" spans="1:6" ht="15.6" hidden="1" x14ac:dyDescent="0.3">
      <c r="A21" s="80" t="str">
        <f>CONCATENATE("5. Определите информационный объем текста [студент НВГУ группы №",D3," ",C2,"] в байтах")</f>
        <v>5. Определите информационный объем текста [студент НВГУ группы №1111 Ботников Максим] в байтах</v>
      </c>
      <c r="B21" s="81"/>
      <c r="C21" s="81"/>
      <c r="D21" s="81"/>
      <c r="E21" s="81"/>
      <c r="F21" s="82"/>
    </row>
    <row r="22" spans="1:6" ht="19.2" hidden="1" thickBot="1" x14ac:dyDescent="0.5">
      <c r="A22" s="65" t="s">
        <v>7</v>
      </c>
      <c r="B22" s="66"/>
      <c r="C22" s="17"/>
      <c r="D22" s="67" t="s">
        <v>8</v>
      </c>
      <c r="E22" s="67"/>
      <c r="F22" s="18"/>
    </row>
    <row r="23" spans="1:6" ht="15.6" hidden="1" x14ac:dyDescent="0.3">
      <c r="A23" s="39" t="s">
        <v>12</v>
      </c>
      <c r="B23" s="40"/>
      <c r="C23" s="12" t="s">
        <v>6</v>
      </c>
      <c r="D23" s="12" t="str">
        <f>CONCATENATE(ROUND(F3/10,0)," бит")</f>
        <v>2 бит</v>
      </c>
      <c r="E23" s="12" t="str">
        <f>CONCATENATE(YEAR(B3), " байт")</f>
        <v>2007 байт</v>
      </c>
      <c r="F23" s="13" t="s">
        <v>5</v>
      </c>
    </row>
    <row r="24" spans="1:6" ht="19.2" hidden="1" thickBot="1" x14ac:dyDescent="0.35">
      <c r="A24" s="41"/>
      <c r="B24" s="42"/>
      <c r="C24" s="8"/>
      <c r="D24" s="9"/>
      <c r="E24" s="10"/>
      <c r="F24" s="11"/>
    </row>
    <row r="25" spans="1:6" ht="15.6" hidden="1" x14ac:dyDescent="0.3">
      <c r="A25" s="62" t="s">
        <v>9</v>
      </c>
      <c r="B25" s="63"/>
      <c r="C25" s="63"/>
      <c r="D25" s="63"/>
      <c r="E25" s="63"/>
      <c r="F25" s="64"/>
    </row>
    <row r="26" spans="1:6" ht="36" hidden="1" customHeight="1" thickBot="1" x14ac:dyDescent="0.35">
      <c r="A26" s="73" t="str">
        <f>C2</f>
        <v>Ботников Максим</v>
      </c>
      <c r="B26" s="74"/>
      <c r="C26" s="75"/>
      <c r="D26" s="76"/>
      <c r="E26" s="76"/>
      <c r="F26" s="77"/>
    </row>
    <row r="27" spans="1:6" ht="15.6" hidden="1" x14ac:dyDescent="0.3">
      <c r="A27" s="62" t="s">
        <v>11</v>
      </c>
      <c r="B27" s="63"/>
      <c r="C27" s="63"/>
      <c r="D27" s="63"/>
      <c r="E27" s="63"/>
      <c r="F27" s="64"/>
    </row>
    <row r="28" spans="1:6" ht="19.2" hidden="1" thickBot="1" x14ac:dyDescent="0.5">
      <c r="A28" s="68" t="e">
        <f>VLOOKUP(#REF!,#REF!:#REF!,2)</f>
        <v>#REF!</v>
      </c>
      <c r="B28" s="69"/>
      <c r="C28" s="69"/>
      <c r="D28" s="70"/>
      <c r="E28" s="71"/>
      <c r="F28" s="72"/>
    </row>
    <row r="29" spans="1:6" x14ac:dyDescent="0.3">
      <c r="A29" s="34"/>
      <c r="B29" s="34"/>
      <c r="C29" s="34"/>
      <c r="D29" s="34"/>
      <c r="E29" s="34"/>
      <c r="F29" s="34"/>
    </row>
    <row r="30" spans="1:6" x14ac:dyDescent="0.3">
      <c r="A30" s="34"/>
      <c r="B30" s="34"/>
      <c r="C30" s="34"/>
      <c r="D30" s="34"/>
      <c r="E30" s="34"/>
      <c r="F30" s="34"/>
    </row>
    <row r="31" spans="1:6" x14ac:dyDescent="0.3">
      <c r="A31" s="34"/>
      <c r="B31" s="34"/>
      <c r="C31" s="34"/>
      <c r="D31" s="34"/>
      <c r="E31" s="34"/>
      <c r="F31" s="34"/>
    </row>
    <row r="32" spans="1:6" x14ac:dyDescent="0.3">
      <c r="A32" s="34"/>
      <c r="B32" s="34"/>
      <c r="C32" s="34"/>
      <c r="D32" s="34"/>
      <c r="E32" s="34"/>
      <c r="F32" s="34"/>
    </row>
    <row r="33" spans="1:6" x14ac:dyDescent="0.3">
      <c r="A33" s="34"/>
      <c r="B33" s="34"/>
      <c r="C33" s="34"/>
      <c r="D33" s="34"/>
      <c r="E33" s="34"/>
      <c r="F33" s="34"/>
    </row>
    <row r="34" spans="1:6" x14ac:dyDescent="0.3">
      <c r="A34" s="34"/>
      <c r="B34" s="34"/>
      <c r="C34" s="34"/>
      <c r="D34" s="34"/>
      <c r="E34" s="34"/>
      <c r="F34" s="34"/>
    </row>
    <row r="35" spans="1:6" x14ac:dyDescent="0.3">
      <c r="A35" s="34"/>
      <c r="B35" s="34"/>
      <c r="C35" s="34"/>
      <c r="D35" s="34"/>
      <c r="E35" s="34"/>
      <c r="F35" s="34"/>
    </row>
    <row r="36" spans="1:6" x14ac:dyDescent="0.3">
      <c r="A36" s="34"/>
      <c r="B36" s="34"/>
      <c r="C36" s="34"/>
      <c r="D36" s="34"/>
      <c r="E36" s="34"/>
      <c r="F36" s="34"/>
    </row>
    <row r="37" spans="1:6" x14ac:dyDescent="0.3">
      <c r="A37" s="34"/>
      <c r="B37" s="34"/>
      <c r="C37" s="34"/>
      <c r="D37" s="34"/>
      <c r="E37" s="34"/>
      <c r="F37" s="34"/>
    </row>
  </sheetData>
  <sheetProtection algorithmName="SHA-512" hashValue="sEUClZ0tZOUvQ/X7SXYgv3sVrju8riXbCO7e7zmPlKuFxgyYCfCSikj4bd6saYsNfInSXuzaWqYjMfeh+7JyQg==" saltValue="SRmhsnKfDYBCi1QwxRAeCQ==" spinCount="100000" sheet="1" objects="1" scenarios="1" selectLockedCells="1" selectUnlockedCells="1"/>
  <mergeCells count="30">
    <mergeCell ref="A14:A15"/>
    <mergeCell ref="C14:C15"/>
    <mergeCell ref="E14:E15"/>
    <mergeCell ref="A1:D1"/>
    <mergeCell ref="A2:B2"/>
    <mergeCell ref="C2:F2"/>
    <mergeCell ref="A4:F4"/>
    <mergeCell ref="A5:F5"/>
    <mergeCell ref="A6:A7"/>
    <mergeCell ref="C6:C7"/>
    <mergeCell ref="E6:E7"/>
    <mergeCell ref="A9:F9"/>
    <mergeCell ref="A10:A11"/>
    <mergeCell ref="C10:C11"/>
    <mergeCell ref="E10:E11"/>
    <mergeCell ref="A13:F13"/>
    <mergeCell ref="A28:C28"/>
    <mergeCell ref="D28:F28"/>
    <mergeCell ref="A17:F17"/>
    <mergeCell ref="A18:A19"/>
    <mergeCell ref="C18:C19"/>
    <mergeCell ref="E18:E19"/>
    <mergeCell ref="A21:F21"/>
    <mergeCell ref="A22:B22"/>
    <mergeCell ref="D22:E22"/>
    <mergeCell ref="A23:B24"/>
    <mergeCell ref="A25:F25"/>
    <mergeCell ref="A26:B26"/>
    <mergeCell ref="C26:F26"/>
    <mergeCell ref="A27:F27"/>
  </mergeCells>
  <dataValidations count="3">
    <dataValidation type="textLength" allowBlank="1" showInputMessage="1" showErrorMessage="1" sqref="C2:F2">
      <formula1>0</formula1>
      <formula2>30</formula2>
    </dataValidation>
    <dataValidation type="list" allowBlank="1" showInputMessage="1" showErrorMessage="1" sqref="C24:F24">
      <formula1>$C$23:$F$23</formula1>
    </dataValidation>
    <dataValidation type="whole" errorStyle="warning" allowBlank="1" showInputMessage="1" showErrorMessage="1" error="Только число!" sqref="D3">
      <formula1>1</formula1>
      <formula2>100</formula2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</vt:lpstr>
      <vt:lpstr>Ключ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2015-09-14T10:29:32Z</dcterms:created>
  <dcterms:modified xsi:type="dcterms:W3CDTF">2025-10-13T08:53:25Z</dcterms:modified>
</cp:coreProperties>
</file>